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24226"/>
  <mc:AlternateContent xmlns:mc="http://schemas.openxmlformats.org/markup-compatibility/2006">
    <mc:Choice Requires="x15">
      <x15ac:absPath xmlns:x15ac="http://schemas.microsoft.com/office/spreadsheetml/2010/11/ac" url="G:\Sija Notes\Excel\"/>
    </mc:Choice>
  </mc:AlternateContent>
  <xr:revisionPtr revIDLastSave="0" documentId="13_ncr:1_{7A14CFEF-6093-4F8A-9C4A-8B1B463EDB20}" xr6:coauthVersionLast="47" xr6:coauthVersionMax="47" xr10:uidLastSave="{00000000-0000-0000-0000-000000000000}"/>
  <bookViews>
    <workbookView xWindow="-110" yWindow="-110" windowWidth="19420" windowHeight="11500" tabRatio="968" activeTab="5" xr2:uid="{00000000-000D-0000-FFFF-FFFF00000000}"/>
  </bookViews>
  <sheets>
    <sheet name="Customers" sheetId="1" r:id="rId1"/>
    <sheet name="Products" sheetId="2" r:id="rId2"/>
    <sheet name="Salesperson" sheetId="3" r:id="rId3"/>
    <sheet name="Orders" sheetId="4" r:id="rId4"/>
    <sheet name="PIVOT" sheetId="6" r:id="rId5"/>
    <sheet name="Dashboard" sheetId="19" r:id="rId6"/>
  </sheets>
  <definedNames>
    <definedName name="Slicer_Category">#N/A</definedName>
    <definedName name="Slicer_Salespers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 i="4" l="1"/>
  <c r="R2" i="4"/>
  <c r="R3" i="4"/>
  <c r="R4" i="4"/>
  <c r="R5" i="4"/>
  <c r="R6" i="4"/>
  <c r="W2" i="4"/>
  <c r="T2" i="4"/>
  <c r="T3" i="4"/>
  <c r="T4" i="4"/>
  <c r="T5" i="4"/>
  <c r="T6" i="4"/>
  <c r="S2" i="4"/>
  <c r="S3" i="4"/>
  <c r="S4" i="4"/>
  <c r="S5" i="4"/>
  <c r="S6" i="4"/>
  <c r="N2" i="4"/>
  <c r="N3" i="4"/>
  <c r="N4" i="4"/>
  <c r="N5" i="4"/>
  <c r="N6" i="4"/>
  <c r="M2" i="4"/>
  <c r="O2" i="4" s="1"/>
  <c r="M3" i="4"/>
  <c r="O3" i="4" s="1"/>
  <c r="M4" i="4"/>
  <c r="O4" i="4" s="1"/>
  <c r="M5" i="4"/>
  <c r="O5" i="4" s="1"/>
  <c r="M6" i="4"/>
  <c r="O6" i="4" s="1"/>
  <c r="L2" i="4"/>
  <c r="P2" i="4" s="1"/>
  <c r="L3" i="4"/>
  <c r="P3" i="4" s="1"/>
  <c r="L4" i="4"/>
  <c r="P4" i="4" s="1"/>
  <c r="L5" i="4"/>
  <c r="P5" i="4" s="1"/>
  <c r="L6" i="4"/>
  <c r="P6" i="4" s="1"/>
  <c r="K2" i="4"/>
  <c r="K3" i="4"/>
  <c r="K4" i="4"/>
  <c r="K5" i="4"/>
  <c r="K6" i="4"/>
  <c r="J2" i="4"/>
  <c r="J3" i="4"/>
  <c r="J4" i="4"/>
  <c r="J5" i="4"/>
  <c r="J6" i="4"/>
  <c r="I4" i="4"/>
  <c r="I2" i="4"/>
  <c r="I3" i="4"/>
  <c r="I5" i="4"/>
  <c r="I6" i="4"/>
  <c r="G2" i="4"/>
  <c r="H2" i="4" s="1"/>
  <c r="G3" i="4"/>
  <c r="H3" i="4" s="1"/>
  <c r="G4" i="4"/>
  <c r="H4" i="4" s="1"/>
  <c r="G5" i="4"/>
  <c r="H5" i="4" s="1"/>
  <c r="G6" i="4"/>
  <c r="H6" i="4" s="1"/>
  <c r="X2" i="4" l="1"/>
  <c r="Q2" i="4"/>
  <c r="Q3" i="4"/>
  <c r="Q4" i="4"/>
  <c r="Q6" i="4"/>
  <c r="Q5" i="4"/>
  <c r="V2" i="4" l="1"/>
</calcChain>
</file>

<file path=xl/sharedStrings.xml><?xml version="1.0" encoding="utf-8"?>
<sst xmlns="http://schemas.openxmlformats.org/spreadsheetml/2006/main" count="173" uniqueCount="98">
  <si>
    <t>Customer ID</t>
  </si>
  <si>
    <t>Customer Name</t>
  </si>
  <si>
    <t>City</t>
  </si>
  <si>
    <t>State</t>
  </si>
  <si>
    <t>C001</t>
  </si>
  <si>
    <t>Arun</t>
  </si>
  <si>
    <t>Chennai</t>
  </si>
  <si>
    <t>Tamil Nadu</t>
  </si>
  <si>
    <t>C002</t>
  </si>
  <si>
    <t>Priya</t>
  </si>
  <si>
    <t>Bangalore</t>
  </si>
  <si>
    <t>Karnataka</t>
  </si>
  <si>
    <t>C003</t>
  </si>
  <si>
    <t>Rahul</t>
  </si>
  <si>
    <t>Hyderabad</t>
  </si>
  <si>
    <t>Telangana</t>
  </si>
  <si>
    <t>C004</t>
  </si>
  <si>
    <t>Divya</t>
  </si>
  <si>
    <t>C005</t>
  </si>
  <si>
    <t>Kiran</t>
  </si>
  <si>
    <t>Kochi</t>
  </si>
  <si>
    <t>Kerala</t>
  </si>
  <si>
    <t>C006</t>
  </si>
  <si>
    <t>Meena</t>
  </si>
  <si>
    <t>C007</t>
  </si>
  <si>
    <t>Vignesh</t>
  </si>
  <si>
    <t>Madurai</t>
  </si>
  <si>
    <t>C008</t>
  </si>
  <si>
    <t>Suresh</t>
  </si>
  <si>
    <t>Coimbatore</t>
  </si>
  <si>
    <t>C009</t>
  </si>
  <si>
    <t>Asha</t>
  </si>
  <si>
    <t>Mysore</t>
  </si>
  <si>
    <t>C010</t>
  </si>
  <si>
    <t>John</t>
  </si>
  <si>
    <t>Product ID</t>
  </si>
  <si>
    <t>Product</t>
  </si>
  <si>
    <t>Category</t>
  </si>
  <si>
    <t>Cost Price</t>
  </si>
  <si>
    <t>Selling Price</t>
  </si>
  <si>
    <t>P001</t>
  </si>
  <si>
    <t>Laptop</t>
  </si>
  <si>
    <t>Electronics</t>
  </si>
  <si>
    <t>P002</t>
  </si>
  <si>
    <t>Mobile</t>
  </si>
  <si>
    <t>P003</t>
  </si>
  <si>
    <t>Printer</t>
  </si>
  <si>
    <t>P004</t>
  </si>
  <si>
    <t>Chair</t>
  </si>
  <si>
    <t>Furniture</t>
  </si>
  <si>
    <t>P005</t>
  </si>
  <si>
    <t>Table</t>
  </si>
  <si>
    <t>P006</t>
  </si>
  <si>
    <t>Pen</t>
  </si>
  <si>
    <t>Stationery</t>
  </si>
  <si>
    <t>P007</t>
  </si>
  <si>
    <t>Notebook</t>
  </si>
  <si>
    <t>P008</t>
  </si>
  <si>
    <t>Keyboard</t>
  </si>
  <si>
    <t>P009</t>
  </si>
  <si>
    <t>Mouse</t>
  </si>
  <si>
    <t>P010</t>
  </si>
  <si>
    <t>White Board</t>
  </si>
  <si>
    <t>Salesperson ID</t>
  </si>
  <si>
    <t>Salesperson</t>
  </si>
  <si>
    <t>S001</t>
  </si>
  <si>
    <t>Kumar</t>
  </si>
  <si>
    <t>S002</t>
  </si>
  <si>
    <t>Ravi</t>
  </si>
  <si>
    <t>S003</t>
  </si>
  <si>
    <t>Ajay</t>
  </si>
  <si>
    <t>S004</t>
  </si>
  <si>
    <t>Deepa</t>
  </si>
  <si>
    <t>S005</t>
  </si>
  <si>
    <t>Nisha</t>
  </si>
  <si>
    <t>Order ID</t>
  </si>
  <si>
    <t>Date</t>
  </si>
  <si>
    <t>Qty</t>
  </si>
  <si>
    <t>Sales</t>
  </si>
  <si>
    <t>Cost</t>
  </si>
  <si>
    <t>Profit</t>
  </si>
  <si>
    <t>Month</t>
  </si>
  <si>
    <t>Quarter</t>
  </si>
  <si>
    <t>Row Labels</t>
  </si>
  <si>
    <t>Jan</t>
  </si>
  <si>
    <t>Grand Total</t>
  </si>
  <si>
    <t>Sum of Sales</t>
  </si>
  <si>
    <t>PIVOT: 1</t>
  </si>
  <si>
    <t>PIVOT: 2</t>
  </si>
  <si>
    <t>PIVOT: 3</t>
  </si>
  <si>
    <t>PIVOT: 4</t>
  </si>
  <si>
    <t>PIVOT: 5</t>
  </si>
  <si>
    <t>Total Sales</t>
  </si>
  <si>
    <t>Total Profit</t>
  </si>
  <si>
    <t>Total Orders</t>
  </si>
  <si>
    <t>AvgOrder Value</t>
  </si>
  <si>
    <t>Year</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</si>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</sst>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8"/>
      <name val="Calibri"/>
      <family val="2"/>
      <scheme val="minor"/>
    </font>
    <font>
      <sz val="12"/>
      <color theme="1"/>
      <name val="Times New Roman"/>
      <family val="1"/>
    </font>
  </fonts>
  <fills count="3">
    <fill>
      <patternFill patternType="none"/>
    </fill>
    <fill>
      <patternFill patternType="gray125"/>
    </fill>
    <fill>
      <patternFill patternType="solid">
        <fgColor theme="7"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1">
    <xf numFmtId="0" fontId="0" fillId="0" borderId="0" xfId="0"/>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0" fillId="0" borderId="5" xfId="0" applyBorder="1" applyAlignment="1">
      <alignment horizontal="center" vertical="center" wrapText="1"/>
    </xf>
    <xf numFmtId="0" fontId="0" fillId="0" borderId="1"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15" fontId="0" fillId="0" borderId="1" xfId="0" applyNumberFormat="1" applyBorder="1" applyAlignment="1">
      <alignment horizontal="center" vertical="center" wrapText="1"/>
    </xf>
    <xf numFmtId="15" fontId="0" fillId="0" borderId="8" xfId="0" applyNumberFormat="1" applyBorder="1" applyAlignment="1">
      <alignment horizontal="center" vertical="center" wrapText="1"/>
    </xf>
    <xf numFmtId="0" fontId="0" fillId="0" borderId="3" xfId="0" applyBorder="1" applyAlignment="1">
      <alignment horizontal="center" vertical="center" wrapText="1"/>
    </xf>
    <xf numFmtId="15" fontId="0" fillId="0" borderId="0" xfId="0" applyNumberFormat="1"/>
    <xf numFmtId="0" fontId="0" fillId="0" borderId="0" xfId="0" pivotButton="1"/>
    <xf numFmtId="0" fontId="0" fillId="0" borderId="0" xfId="0" applyAlignment="1">
      <alignment horizontal="left"/>
    </xf>
    <xf numFmtId="0" fontId="3" fillId="0" borderId="0" xfId="0" applyFont="1" applyAlignment="1">
      <alignment vertical="center"/>
    </xf>
    <xf numFmtId="0" fontId="3" fillId="0" borderId="0" xfId="0" applyFont="1" applyAlignment="1">
      <alignment horizontal="center" vertical="center"/>
    </xf>
    <xf numFmtId="0" fontId="0" fillId="0" borderId="0" xfId="0" applyAlignment="1">
      <alignment horizontal="center"/>
    </xf>
    <xf numFmtId="0" fontId="0" fillId="2" borderId="0" xfId="0" applyFill="1"/>
    <xf numFmtId="0" fontId="0" fillId="0" borderId="0" xfId="0" applyNumberFormat="1"/>
  </cellXfs>
  <cellStyles count="1">
    <cellStyle name="Normal" xfId="0" builtinId="0"/>
  </cellStyles>
  <dxfs count="51">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0" formatCode="dd/mmm/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border>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border>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border>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border>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E20ED3"/>
      <color rgb="FF5A1C4B"/>
      <color rgb="FFFF3300"/>
      <color rgb="FF38DA34"/>
      <color rgb="FFB8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 Sales Dashboard.xlsx]PIVOT!PivotTable1</c:name>
    <c:fmtId val="0"/>
  </c:pivotSource>
  <c:chart>
    <c:title>
      <c:tx>
        <c:rich>
          <a:bodyPr rot="0" spcFirstLastPara="1" vertOverflow="ellipsis" vert="horz" wrap="square" anchor="ctr" anchorCtr="1"/>
          <a:lstStyle/>
          <a:p>
            <a:pPr>
              <a:defRPr sz="1500" b="1" i="0" u="none" strike="noStrike" kern="1200" cap="all" spc="100" normalizeH="0" baseline="0">
                <a:ln>
                  <a:noFill/>
                </a:ln>
                <a:solidFill>
                  <a:schemeClr val="dk1">
                    <a:alpha val="94000"/>
                  </a:schemeClr>
                </a:solidFill>
                <a:latin typeface="+mn-lt"/>
                <a:ea typeface="+mn-ea"/>
                <a:cs typeface="+mn-cs"/>
              </a:defRPr>
            </a:pPr>
            <a:r>
              <a:rPr lang="en-US"/>
              <a:t>Monthly Sales</a:t>
            </a:r>
          </a:p>
        </c:rich>
      </c:tx>
      <c:layout>
        <c:manualLayout>
          <c:xMode val="edge"/>
          <c:yMode val="edge"/>
          <c:x val="0.27368938628955475"/>
          <c:y val="4.3112382437480543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ln>
                <a:noFill/>
              </a:ln>
              <a:solidFill>
                <a:schemeClr val="dk1">
                  <a:alpha val="94000"/>
                </a:schemeClr>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anchor="ctr" anchorCtr="1"/>
            <a:lstStyle/>
            <a:p>
              <a:pPr>
                <a:defRPr sz="900" b="1" i="0" u="none" strike="noStrike" kern="1200" baseline="0">
                  <a:ln>
                    <a:noFill/>
                  </a:ln>
                  <a:solidFill>
                    <a:schemeClr val="dk1">
                      <a:alpha val="94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anchor="ctr" anchorCtr="1"/>
              <a:lstStyle/>
              <a:p>
                <a:pPr>
                  <a:defRPr sz="900" b="1" i="0" u="none" strike="noStrike" kern="1200" baseline="0">
                    <a:ln>
                      <a:noFill/>
                    </a:ln>
                    <a:solidFill>
                      <a:schemeClr val="dk1">
                        <a:alpha val="94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PIVOT!$A$4:$A$5</c:f>
              <c:strCache>
                <c:ptCount val="1"/>
                <c:pt idx="0">
                  <c:v>Jan</c:v>
                </c:pt>
              </c:strCache>
            </c:strRef>
          </c:cat>
          <c:val>
            <c:numRef>
              <c:f>PIVOT!$B$4:$B$5</c:f>
              <c:numCache>
                <c:formatCode>General</c:formatCode>
                <c:ptCount val="1"/>
                <c:pt idx="0">
                  <c:v>93800</c:v>
                </c:pt>
              </c:numCache>
            </c:numRef>
          </c:val>
          <c:smooth val="0"/>
          <c:extLst>
            <c:ext xmlns:c16="http://schemas.microsoft.com/office/drawing/2014/chart" uri="{C3380CC4-5D6E-409C-BE32-E72D297353CC}">
              <c16:uniqueId val="{00000000-79F0-4286-8A01-8DF7A5B119CD}"/>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916453807"/>
        <c:axId val="851950639"/>
      </c:lineChart>
      <c:catAx>
        <c:axId val="916453807"/>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ln>
                  <a:noFill/>
                </a:ln>
                <a:solidFill>
                  <a:schemeClr val="dk1">
                    <a:alpha val="94000"/>
                  </a:schemeClr>
                </a:solidFill>
                <a:latin typeface="+mn-lt"/>
                <a:ea typeface="+mn-ea"/>
                <a:cs typeface="+mn-cs"/>
              </a:defRPr>
            </a:pPr>
            <a:endParaRPr lang="en-US"/>
          </a:p>
        </c:txPr>
        <c:crossAx val="851950639"/>
        <c:crosses val="autoZero"/>
        <c:auto val="1"/>
        <c:lblAlgn val="ctr"/>
        <c:lblOffset val="100"/>
        <c:noMultiLvlLbl val="0"/>
      </c:catAx>
      <c:valAx>
        <c:axId val="8519506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dk1">
                    <a:alpha val="94000"/>
                  </a:schemeClr>
                </a:solidFill>
                <a:latin typeface="+mn-lt"/>
                <a:ea typeface="+mn-ea"/>
                <a:cs typeface="+mn-cs"/>
              </a:defRPr>
            </a:pPr>
            <a:endParaRPr lang="en-US"/>
          </a:p>
        </c:txPr>
        <c:crossAx val="916453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ln>
            <a:noFill/>
          </a:ln>
          <a:solidFill>
            <a:schemeClr val="dk1">
              <a:alpha val="94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Top10:Total</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v>Total</c:v>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Laptop</c:v>
              </c:pt>
              <c:pt idx="1">
                <c:v>Mobile</c:v>
              </c:pt>
              <c:pt idx="2">
                <c:v>Chair</c:v>
              </c:pt>
              <c:pt idx="3">
                <c:v>Keyboard</c:v>
              </c:pt>
              <c:pt idx="4">
                <c:v>Pen</c:v>
              </c:pt>
            </c:strLit>
          </c:cat>
          <c:val>
            <c:numLit>
              <c:formatCode>General</c:formatCode>
              <c:ptCount val="5"/>
              <c:pt idx="0">
                <c:v>52000</c:v>
              </c:pt>
              <c:pt idx="1">
                <c:v>36000</c:v>
              </c:pt>
              <c:pt idx="2">
                <c:v>2800</c:v>
              </c:pt>
              <c:pt idx="3">
                <c:v>2700</c:v>
              </c:pt>
              <c:pt idx="4">
                <c:v>300</c:v>
              </c:pt>
            </c:numLit>
          </c:val>
          <c:extLst>
            <c:ext xmlns:c16="http://schemas.microsoft.com/office/drawing/2014/chart" uri="{C3380CC4-5D6E-409C-BE32-E72D297353CC}">
              <c16:uniqueId val="{00000000-3AF8-4E10-8E8F-3C659591AE54}"/>
            </c:ext>
          </c:extLst>
        </c:ser>
        <c:dLbls>
          <c:showLegendKey val="0"/>
          <c:showVal val="1"/>
          <c:showCatName val="0"/>
          <c:showSerName val="0"/>
          <c:showPercent val="0"/>
          <c:showBubbleSize val="0"/>
        </c:dLbls>
        <c:gapWidth val="150"/>
        <c:shape val="box"/>
        <c:axId val="1159718047"/>
        <c:axId val="851936719"/>
        <c:axId val="0"/>
      </c:bar3DChart>
      <c:catAx>
        <c:axId val="115971804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936719"/>
        <c:crosses val="autoZero"/>
        <c:auto val="1"/>
        <c:lblAlgn val="ctr"/>
        <c:lblOffset val="100"/>
        <c:noMultiLvlLbl val="0"/>
      </c:catAx>
      <c:valAx>
        <c:axId val="8519367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718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 Sales Dashboard.xlsx]PIVOT!PivotTable3</c:name>
    <c:fmtId val="0"/>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t>Region Sales: Total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PIVOT!$B$11</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489F-4BB2-A3AD-F8D516E43BCA}"/>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489F-4BB2-A3AD-F8D516E43BCA}"/>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489F-4BB2-A3AD-F8D516E43BCA}"/>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PIVOT!$A$12:$A$15</c:f>
              <c:strCache>
                <c:ptCount val="3"/>
                <c:pt idx="0">
                  <c:v>Kerala</c:v>
                </c:pt>
                <c:pt idx="1">
                  <c:v>Tamil Nadu</c:v>
                </c:pt>
                <c:pt idx="2">
                  <c:v>Telangana</c:v>
                </c:pt>
              </c:strCache>
            </c:strRef>
          </c:cat>
          <c:val>
            <c:numRef>
              <c:f>PIVOT!$B$12:$B$15</c:f>
              <c:numCache>
                <c:formatCode>General</c:formatCode>
                <c:ptCount val="3"/>
                <c:pt idx="0">
                  <c:v>2800</c:v>
                </c:pt>
                <c:pt idx="1">
                  <c:v>39000</c:v>
                </c:pt>
                <c:pt idx="2">
                  <c:v>52000</c:v>
                </c:pt>
              </c:numCache>
            </c:numRef>
          </c:val>
          <c:extLst>
            <c:ext xmlns:c16="http://schemas.microsoft.com/office/drawing/2014/chart" uri="{C3380CC4-5D6E-409C-BE32-E72D297353CC}">
              <c16:uniqueId val="{00000000-B3FD-4773-AAC4-7036620F966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a:solidFill>
        <a:schemeClr val="tx1"/>
      </a:solidFill>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[Retails Sales Dashboard.xlsx]PIVOT!PivotTable4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Salesperson Performance:Total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PIVOT!$E$11</c:f>
              <c:strCache>
                <c:ptCount val="1"/>
                <c:pt idx="0">
                  <c:v>Total</c:v>
                </c:pt>
              </c:strCache>
            </c:strRef>
          </c:tx>
          <c:spPr>
            <a:solidFill>
              <a:schemeClr val="accent5"/>
            </a:solidFill>
            <a:ln>
              <a:noFill/>
            </a:ln>
            <a:effectLst/>
            <a:sp3d/>
          </c:spPr>
          <c:invertIfNegative val="0"/>
          <c:cat>
            <c:strRef>
              <c:f>PIVOT!$D$12:$D$17</c:f>
              <c:strCache>
                <c:ptCount val="5"/>
                <c:pt idx="0">
                  <c:v>Ajay</c:v>
                </c:pt>
                <c:pt idx="1">
                  <c:v>Deepa</c:v>
                </c:pt>
                <c:pt idx="2">
                  <c:v>Kumar</c:v>
                </c:pt>
                <c:pt idx="3">
                  <c:v>Nisha</c:v>
                </c:pt>
                <c:pt idx="4">
                  <c:v>Ravi</c:v>
                </c:pt>
              </c:strCache>
            </c:strRef>
          </c:cat>
          <c:val>
            <c:numRef>
              <c:f>PIVOT!$E$12:$E$17</c:f>
              <c:numCache>
                <c:formatCode>General</c:formatCode>
                <c:ptCount val="5"/>
                <c:pt idx="0">
                  <c:v>52000</c:v>
                </c:pt>
                <c:pt idx="1">
                  <c:v>2700</c:v>
                </c:pt>
                <c:pt idx="2">
                  <c:v>36000</c:v>
                </c:pt>
                <c:pt idx="3">
                  <c:v>300</c:v>
                </c:pt>
                <c:pt idx="4">
                  <c:v>2800</c:v>
                </c:pt>
              </c:numCache>
            </c:numRef>
          </c:val>
          <c:extLst>
            <c:ext xmlns:c16="http://schemas.microsoft.com/office/drawing/2014/chart" uri="{C3380CC4-5D6E-409C-BE32-E72D297353CC}">
              <c16:uniqueId val="{00000000-7A6F-4180-A986-455DB89DFA12}"/>
            </c:ext>
          </c:extLst>
        </c:ser>
        <c:dLbls>
          <c:showLegendKey val="0"/>
          <c:showVal val="0"/>
          <c:showCatName val="0"/>
          <c:showSerName val="0"/>
          <c:showPercent val="0"/>
          <c:showBubbleSize val="0"/>
        </c:dLbls>
        <c:gapWidth val="150"/>
        <c:shape val="box"/>
        <c:axId val="1140100991"/>
        <c:axId val="1225559471"/>
        <c:axId val="1024394415"/>
      </c:bar3DChart>
      <c:catAx>
        <c:axId val="11401009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559471"/>
        <c:crosses val="autoZero"/>
        <c:auto val="1"/>
        <c:lblAlgn val="ctr"/>
        <c:lblOffset val="100"/>
        <c:noMultiLvlLbl val="0"/>
      </c:catAx>
      <c:valAx>
        <c:axId val="1225559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100991"/>
        <c:crosses val="autoZero"/>
        <c:crossBetween val="between"/>
      </c:valAx>
      <c:serAx>
        <c:axId val="1024394415"/>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559471"/>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[Retails Sales Dashboard.xlsx]PIVOT!PivotTable2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Sales : Total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PIVOT!$E$3</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PIVOT!$D$4:$D$7</c:f>
              <c:strCache>
                <c:ptCount val="3"/>
                <c:pt idx="0">
                  <c:v>Electronics</c:v>
                </c:pt>
                <c:pt idx="1">
                  <c:v>Furniture</c:v>
                </c:pt>
                <c:pt idx="2">
                  <c:v>Stationery</c:v>
                </c:pt>
              </c:strCache>
            </c:strRef>
          </c:cat>
          <c:val>
            <c:numRef>
              <c:f>PIVOT!$E$4:$E$7</c:f>
              <c:numCache>
                <c:formatCode>General</c:formatCode>
                <c:ptCount val="3"/>
                <c:pt idx="0">
                  <c:v>30000</c:v>
                </c:pt>
                <c:pt idx="1">
                  <c:v>800</c:v>
                </c:pt>
                <c:pt idx="2">
                  <c:v>290</c:v>
                </c:pt>
              </c:numCache>
            </c:numRef>
          </c:val>
          <c:extLst>
            <c:ext xmlns:c16="http://schemas.microsoft.com/office/drawing/2014/chart" uri="{C3380CC4-5D6E-409C-BE32-E72D297353CC}">
              <c16:uniqueId val="{00000000-615B-4971-B684-A270577D3EF6}"/>
            </c:ext>
          </c:extLst>
        </c:ser>
        <c:dLbls>
          <c:showLegendKey val="0"/>
          <c:showVal val="1"/>
          <c:showCatName val="0"/>
          <c:showSerName val="0"/>
          <c:showPercent val="0"/>
          <c:showBubbleSize val="0"/>
        </c:dLbls>
        <c:gapWidth val="150"/>
        <c:shape val="box"/>
        <c:axId val="990541391"/>
        <c:axId val="1225578671"/>
        <c:axId val="0"/>
      </c:bar3DChart>
      <c:catAx>
        <c:axId val="9905413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578671"/>
        <c:crosses val="autoZero"/>
        <c:auto val="1"/>
        <c:lblAlgn val="ctr"/>
        <c:lblOffset val="100"/>
        <c:noMultiLvlLbl val="0"/>
      </c:catAx>
      <c:valAx>
        <c:axId val="1225578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541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[Retails Sales Dashboard.xlsx]PIVOT!PivotTable2</c:name>
    <c:fmtId val="6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dLbl>
          <c:idx val="0"/>
          <c:layout>
            <c:manualLayout>
              <c:x val="0.18055555555555555"/>
              <c:y val="5.5555555555555552E-2"/>
            </c:manualLayout>
          </c:layout>
          <c:showLegendKey val="0"/>
          <c:showVal val="1"/>
          <c:showCatName val="0"/>
          <c:showSerName val="0"/>
          <c:showPercent val="1"/>
          <c:showBubbleSize val="0"/>
          <c:extLst>
            <c:ext xmlns:c15="http://schemas.microsoft.com/office/drawing/2012/chart" uri="{CE6537A1-D6FC-4f65-9D91-7224C49458BB}"/>
          </c:extLst>
        </c:dLbl>
      </c:pivotFmt>
      <c:pivotFmt>
        <c:idx val="4"/>
        <c:dLbl>
          <c:idx val="0"/>
          <c:showLegendKey val="0"/>
          <c:showVal val="1"/>
          <c:showCatName val="0"/>
          <c:showSerName val="0"/>
          <c:showPercent val="1"/>
          <c:showBubbleSize val="0"/>
          <c:extLst>
            <c:ext xmlns:c15="http://schemas.microsoft.com/office/drawing/2012/chart" uri="{CE6537A1-D6FC-4f65-9D91-7224C49458BB}"/>
          </c:extLst>
        </c:dLbl>
      </c:pivotFmt>
      <c:pivotFmt>
        <c:idx val="5"/>
        <c:dLbl>
          <c:idx val="0"/>
          <c:layout>
            <c:manualLayout>
              <c:x val="0.18055555555555555"/>
              <c:y val="5.5555555555555552E-2"/>
            </c:manualLayout>
          </c:layout>
          <c:showLegendKey val="0"/>
          <c:showVal val="1"/>
          <c:showCatName val="0"/>
          <c:showSerName val="0"/>
          <c:showPercent val="1"/>
          <c:showBubbleSize val="0"/>
          <c:extLst>
            <c:ext xmlns:c15="http://schemas.microsoft.com/office/drawing/2012/chart" uri="{CE6537A1-D6FC-4f65-9D91-7224C49458BB}"/>
          </c:extLst>
        </c:dLbl>
      </c:pivotFmt>
      <c:pivotFmt>
        <c:idx val="6"/>
        <c:dLbl>
          <c:idx val="0"/>
          <c:layout>
            <c:manualLayout>
              <c:x val="-0.11944444444444449"/>
              <c:y val="-2.7777777777777821E-2"/>
            </c:manualLayout>
          </c:layout>
          <c:showLegendKey val="0"/>
          <c:showVal val="1"/>
          <c:showCatName val="0"/>
          <c:showSerName val="0"/>
          <c:showPercent val="1"/>
          <c:showBubbleSize val="0"/>
          <c:extLst>
            <c:ext xmlns:c15="http://schemas.microsoft.com/office/drawing/2012/chart" uri="{CE6537A1-D6FC-4f65-9D91-7224C49458BB}"/>
          </c:extLst>
        </c:dLbl>
      </c:pivotFmt>
      <c:pivotFmt>
        <c:idx val="7"/>
        <c:dLbl>
          <c:idx val="0"/>
          <c:layout>
            <c:manualLayout>
              <c:x val="0.19444444444444445"/>
              <c:y val="2.7777777777777776E-2"/>
            </c:manualLayout>
          </c:layout>
          <c:showLegendKey val="0"/>
          <c:showVal val="1"/>
          <c:showCatName val="0"/>
          <c:showSerName val="0"/>
          <c:showPercent val="1"/>
          <c:showBubbleSize val="0"/>
          <c:extLst>
            <c:ext xmlns:c15="http://schemas.microsoft.com/office/drawing/2012/chart" uri="{CE6537A1-D6FC-4f65-9D91-7224C49458BB}"/>
          </c:extLst>
        </c:dLbl>
      </c:pivotFmt>
      <c:pivotFmt>
        <c:idx val="8"/>
        <c:dLbl>
          <c:idx val="0"/>
          <c:showLegendKey val="0"/>
          <c:showVal val="1"/>
          <c:showCatName val="0"/>
          <c:showSerName val="0"/>
          <c:showPercent val="1"/>
          <c:showBubbleSize val="0"/>
          <c:extLst>
            <c:ext xmlns:c15="http://schemas.microsoft.com/office/drawing/2012/chart" uri="{CE6537A1-D6FC-4f65-9D91-7224C49458BB}"/>
          </c:extLst>
        </c:dLbl>
      </c:pivotFmt>
      <c:pivotFmt>
        <c:idx val="9"/>
        <c:dLbl>
          <c:idx val="0"/>
          <c:layout>
            <c:manualLayout>
              <c:x val="0.18055555555555555"/>
              <c:y val="5.5555555555555552E-2"/>
            </c:manualLayout>
          </c:layout>
          <c:showLegendKey val="0"/>
          <c:showVal val="1"/>
          <c:showCatName val="0"/>
          <c:showSerName val="0"/>
          <c:showPercent val="1"/>
          <c:showBubbleSize val="0"/>
          <c:extLst>
            <c:ext xmlns:c15="http://schemas.microsoft.com/office/drawing/2012/chart" uri="{CE6537A1-D6FC-4f65-9D91-7224C49458BB}"/>
          </c:extLst>
        </c:dLbl>
      </c:pivotFmt>
      <c:pivotFmt>
        <c:idx val="10"/>
        <c:dLbl>
          <c:idx val="0"/>
          <c:layout>
            <c:manualLayout>
              <c:x val="-0.11944444444444449"/>
              <c:y val="-2.7777777777777821E-2"/>
            </c:manualLayout>
          </c:layout>
          <c:showLegendKey val="0"/>
          <c:showVal val="1"/>
          <c:showCatName val="0"/>
          <c:showSerName val="0"/>
          <c:showPercent val="1"/>
          <c:showBubbleSize val="0"/>
          <c:extLst>
            <c:ext xmlns:c15="http://schemas.microsoft.com/office/drawing/2012/chart" uri="{CE6537A1-D6FC-4f65-9D91-7224C49458BB}"/>
          </c:extLst>
        </c:dLbl>
      </c:pivotFmt>
      <c:pivotFmt>
        <c:idx val="11"/>
        <c:dLbl>
          <c:idx val="0"/>
          <c:layout>
            <c:manualLayout>
              <c:x val="0.19444444444444445"/>
              <c:y val="2.7777777777777776E-2"/>
            </c:manualLayout>
          </c:layout>
          <c:showLegendKey val="0"/>
          <c:showVal val="1"/>
          <c:showCatName val="0"/>
          <c:showSerName val="0"/>
          <c:showPercent val="1"/>
          <c:showBubbleSize val="0"/>
          <c:extLst>
            <c:ext xmlns:c15="http://schemas.microsoft.com/office/drawing/2012/chart" uri="{CE6537A1-D6FC-4f65-9D91-7224C49458BB}"/>
          </c:extLst>
        </c:dLbl>
      </c:pivotFmt>
      <c:pivotFmt>
        <c:idx val="12"/>
        <c:dLbl>
          <c:idx val="0"/>
          <c:showLegendKey val="0"/>
          <c:showVal val="1"/>
          <c:showCatName val="0"/>
          <c:showSerName val="0"/>
          <c:showPercent val="1"/>
          <c:showBubbleSize val="0"/>
          <c:extLst>
            <c:ext xmlns:c15="http://schemas.microsoft.com/office/drawing/2012/chart" uri="{CE6537A1-D6FC-4f65-9D91-7224C49458BB}"/>
          </c:extLst>
        </c:dLbl>
      </c:pivotFmt>
      <c:pivotFmt>
        <c:idx val="13"/>
        <c:dLbl>
          <c:idx val="0"/>
          <c:layout>
            <c:manualLayout>
              <c:x val="0.18055555555555555"/>
              <c:y val="5.5555555555555552E-2"/>
            </c:manualLayout>
          </c:layout>
          <c:showLegendKey val="0"/>
          <c:showVal val="1"/>
          <c:showCatName val="0"/>
          <c:showSerName val="0"/>
          <c:showPercent val="1"/>
          <c:showBubbleSize val="0"/>
          <c:extLst>
            <c:ext xmlns:c15="http://schemas.microsoft.com/office/drawing/2012/chart" uri="{CE6537A1-D6FC-4f65-9D91-7224C49458BB}"/>
          </c:extLst>
        </c:dLbl>
      </c:pivotFmt>
      <c:pivotFmt>
        <c:idx val="14"/>
        <c:dLbl>
          <c:idx val="0"/>
          <c:layout>
            <c:manualLayout>
              <c:x val="-0.11944444444444449"/>
              <c:y val="-2.7777777777777821E-2"/>
            </c:manualLayout>
          </c:layout>
          <c:showLegendKey val="0"/>
          <c:showVal val="1"/>
          <c:showCatName val="0"/>
          <c:showSerName val="0"/>
          <c:showPercent val="1"/>
          <c:showBubbleSize val="0"/>
          <c:extLst>
            <c:ext xmlns:c15="http://schemas.microsoft.com/office/drawing/2012/chart" uri="{CE6537A1-D6FC-4f65-9D91-7224C49458BB}"/>
          </c:extLst>
        </c:dLbl>
      </c:pivotFmt>
      <c:pivotFmt>
        <c:idx val="15"/>
        <c:dLbl>
          <c:idx val="0"/>
          <c:layout>
            <c:manualLayout>
              <c:x val="0.19444444444444445"/>
              <c:y val="2.7777777777777776E-2"/>
            </c:manualLayout>
          </c:layout>
          <c:showLegendKey val="0"/>
          <c:showVal val="1"/>
          <c:showCatName val="0"/>
          <c:showSerName val="0"/>
          <c:showPercent val="1"/>
          <c:showBubbleSize val="0"/>
          <c:extLst>
            <c:ext xmlns:c15="http://schemas.microsoft.com/office/drawing/2012/chart" uri="{CE6537A1-D6FC-4f65-9D91-7224C49458BB}"/>
          </c:extLst>
        </c:dLbl>
      </c:pivotFmt>
      <c:pivotFmt>
        <c:idx val="16"/>
        <c:dLbl>
          <c:idx val="0"/>
          <c:showLegendKey val="0"/>
          <c:showVal val="1"/>
          <c:showCatName val="0"/>
          <c:showSerName val="0"/>
          <c:showPercent val="1"/>
          <c:showBubbleSize val="0"/>
          <c:extLst>
            <c:ext xmlns:c15="http://schemas.microsoft.com/office/drawing/2012/chart" uri="{CE6537A1-D6FC-4f65-9D91-7224C49458BB}"/>
          </c:extLst>
        </c:dLbl>
      </c:pivotFmt>
      <c:pivotFmt>
        <c:idx val="17"/>
        <c:dLbl>
          <c:idx val="0"/>
          <c:layout>
            <c:manualLayout>
              <c:x val="0.18055555555555555"/>
              <c:y val="5.5555555555555552E-2"/>
            </c:manualLayout>
          </c:layout>
          <c:showLegendKey val="0"/>
          <c:showVal val="1"/>
          <c:showCatName val="0"/>
          <c:showSerName val="0"/>
          <c:showPercent val="1"/>
          <c:showBubbleSize val="0"/>
          <c:extLst>
            <c:ext xmlns:c15="http://schemas.microsoft.com/office/drawing/2012/chart" uri="{CE6537A1-D6FC-4f65-9D91-7224C49458BB}"/>
          </c:extLst>
        </c:dLbl>
      </c:pivotFmt>
      <c:pivotFmt>
        <c:idx val="18"/>
        <c:dLbl>
          <c:idx val="0"/>
          <c:layout>
            <c:manualLayout>
              <c:x val="-0.11944444444444449"/>
              <c:y val="-2.7777777777777821E-2"/>
            </c:manualLayout>
          </c:layout>
          <c:showLegendKey val="0"/>
          <c:showVal val="1"/>
          <c:showCatName val="0"/>
          <c:showSerName val="0"/>
          <c:showPercent val="1"/>
          <c:showBubbleSize val="0"/>
          <c:extLst>
            <c:ext xmlns:c15="http://schemas.microsoft.com/office/drawing/2012/chart" uri="{CE6537A1-D6FC-4f65-9D91-7224C49458BB}"/>
          </c:extLst>
        </c:dLbl>
      </c:pivotFmt>
      <c:pivotFmt>
        <c:idx val="19"/>
        <c:dLbl>
          <c:idx val="0"/>
          <c:layout>
            <c:manualLayout>
              <c:x val="0.19444444444444445"/>
              <c:y val="2.7777777777777776E-2"/>
            </c:manualLayout>
          </c:layout>
          <c:showLegendKey val="0"/>
          <c:showVal val="1"/>
          <c:showCatName val="0"/>
          <c:showSerName val="0"/>
          <c:showPercent val="1"/>
          <c:showBubbleSize val="0"/>
          <c:extLst>
            <c:ext xmlns:c15="http://schemas.microsoft.com/office/drawing/2012/chart" uri="{CE6537A1-D6FC-4f65-9D91-7224C49458BB}"/>
          </c:extLst>
        </c:dLbl>
      </c:pivotFmt>
      <c:pivotFmt>
        <c:idx val="20"/>
        <c:dLbl>
          <c:idx val="0"/>
          <c:showLegendKey val="0"/>
          <c:showVal val="1"/>
          <c:showCatName val="0"/>
          <c:showSerName val="0"/>
          <c:showPercent val="1"/>
          <c:showBubbleSize val="0"/>
          <c:extLst>
            <c:ext xmlns:c15="http://schemas.microsoft.com/office/drawing/2012/chart" uri="{CE6537A1-D6FC-4f65-9D91-7224C49458BB}"/>
          </c:extLst>
        </c:dLbl>
      </c:pivotFmt>
      <c:pivotFmt>
        <c:idx val="21"/>
        <c:dLbl>
          <c:idx val="0"/>
          <c:layout>
            <c:manualLayout>
              <c:x val="0.24800010414702536"/>
              <c:y val="-4.7885063781396807E-2"/>
            </c:manualLayout>
          </c:layout>
          <c:showLegendKey val="0"/>
          <c:showVal val="1"/>
          <c:showCatName val="0"/>
          <c:showSerName val="0"/>
          <c:showPercent val="1"/>
          <c:showBubbleSize val="0"/>
          <c:extLst>
            <c:ext xmlns:c15="http://schemas.microsoft.com/office/drawing/2012/chart" uri="{CE6537A1-D6FC-4f65-9D91-7224C49458BB}"/>
          </c:extLst>
        </c:dLbl>
      </c:pivotFmt>
      <c:pivotFmt>
        <c:idx val="22"/>
        <c:dLbl>
          <c:idx val="0"/>
          <c:layout>
            <c:manualLayout>
              <c:x val="-0.21600009070869952"/>
              <c:y val="-2.3942531890698428E-2"/>
            </c:manualLayout>
          </c:layout>
          <c:showLegendKey val="0"/>
          <c:showVal val="1"/>
          <c:showCatName val="0"/>
          <c:showSerName val="0"/>
          <c:showPercent val="1"/>
          <c:showBubbleSize val="0"/>
          <c:extLst>
            <c:ext xmlns:c15="http://schemas.microsoft.com/office/drawing/2012/chart" uri="{CE6537A1-D6FC-4f65-9D91-7224C49458BB}"/>
          </c:extLst>
        </c:dLbl>
      </c:pivotFmt>
      <c:pivotFmt>
        <c:idx val="23"/>
        <c:dLbl>
          <c:idx val="0"/>
          <c:layout>
            <c:manualLayout>
              <c:x val="0.19200008062995513"/>
              <c:y val="2.3942531890698383E-2"/>
            </c:manualLayout>
          </c:layout>
          <c:showLegendKey val="0"/>
          <c:showVal val="1"/>
          <c:showCatName val="0"/>
          <c:showSerName val="0"/>
          <c:showPercent val="1"/>
          <c:showBubbleSize val="0"/>
          <c:extLst>
            <c:ext xmlns:c15="http://schemas.microsoft.com/office/drawing/2012/chart" uri="{CE6537A1-D6FC-4f65-9D91-7224C49458BB}">
              <c15:layout>
                <c:manualLayout>
                  <c:w val="0.14298672671358603"/>
                  <c:h val="5.3655402490928233E-2"/>
                </c:manualLayout>
              </c15:layout>
            </c:ext>
          </c:extLst>
        </c:dLbl>
      </c:pivotFmt>
      <c:pivotFmt>
        <c:idx val="2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solidFill>
              <a:srgbClr val="00B05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5"/>
        <c:spPr>
          <a:solidFill>
            <a:srgbClr val="FFFF00"/>
          </a:solidFill>
          <a:ln>
            <a:solidFill>
              <a:srgbClr val="00B05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6666677865271543"/>
              <c:y val="-1.4365519134419073E-2"/>
            </c:manualLayout>
          </c:layout>
          <c:showLegendKey val="0"/>
          <c:showVal val="1"/>
          <c:showCatName val="0"/>
          <c:showSerName val="0"/>
          <c:showPercent val="1"/>
          <c:showBubbleSize val="0"/>
          <c:extLst>
            <c:ext xmlns:c15="http://schemas.microsoft.com/office/drawing/2012/chart" uri="{CE6537A1-D6FC-4f65-9D91-7224C49458BB}"/>
          </c:extLst>
        </c:dLbl>
      </c:pivotFmt>
      <c:pivotFmt>
        <c:idx val="26"/>
        <c:spPr>
          <a:solidFill>
            <a:srgbClr val="C00000"/>
          </a:solidFill>
          <a:ln>
            <a:solidFill>
              <a:srgbClr val="00B05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4000010078744394"/>
              <c:y val="2.3942531890698383E-2"/>
            </c:manualLayout>
          </c:layout>
          <c:showLegendKey val="0"/>
          <c:showVal val="1"/>
          <c:showCatName val="0"/>
          <c:showSerName val="0"/>
          <c:showPercent val="1"/>
          <c:showBubbleSize val="0"/>
          <c:extLst>
            <c:ext xmlns:c15="http://schemas.microsoft.com/office/drawing/2012/chart" uri="{CE6537A1-D6FC-4f65-9D91-7224C49458BB}"/>
          </c:extLst>
        </c:dLbl>
      </c:pivotFmt>
      <c:pivotFmt>
        <c:idx val="27"/>
        <c:spPr>
          <a:solidFill>
            <a:srgbClr val="E20ED3"/>
          </a:solidFill>
          <a:ln>
            <a:solidFill>
              <a:srgbClr val="00B05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5866677529313398"/>
              <c:y val="4.7885063781396765E-2"/>
            </c:manualLayout>
          </c:layout>
          <c:showLegendKey val="0"/>
          <c:showVal val="1"/>
          <c:showCatName val="0"/>
          <c:showSerName val="0"/>
          <c:showPercent val="1"/>
          <c:showBubbleSize val="0"/>
          <c:extLst>
            <c:ext xmlns:c15="http://schemas.microsoft.com/office/drawing/2012/chart" uri="{CE6537A1-D6FC-4f65-9D91-7224C49458BB}"/>
          </c:extLst>
        </c:dLbl>
      </c:pivotFmt>
      <c:pivotFmt>
        <c:idx val="2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0"/>
        <c:spPr>
          <a:solidFill>
            <a:schemeClr val="tx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5857103645948736"/>
              <c:y val="3.7063532220284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1"/>
        <c:spPr>
          <a:solidFill>
            <a:srgbClr val="FF33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0426099611730575"/>
              <c:y val="-1.38988245826066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2"/>
        <c:spPr>
          <a:solidFill>
            <a:srgbClr val="FFFF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663397051674947"/>
              <c:y val="-1.85317661101422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PIVOT!$E$3</c:f>
              <c:strCache>
                <c:ptCount val="1"/>
                <c:pt idx="0">
                  <c:v>Total</c:v>
                </c:pt>
              </c:strCache>
            </c:strRef>
          </c:tx>
          <c:dPt>
            <c:idx val="0"/>
            <c:bubble3D val="0"/>
            <c:spPr>
              <a:solidFill>
                <a:schemeClr val="tx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66B0-4CC3-A541-116B617D5AC4}"/>
              </c:ext>
            </c:extLst>
          </c:dPt>
          <c:dPt>
            <c:idx val="1"/>
            <c:bubble3D val="0"/>
            <c:spPr>
              <a:solidFill>
                <a:srgbClr val="FFFF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66B0-4CC3-A541-116B617D5AC4}"/>
              </c:ext>
            </c:extLst>
          </c:dPt>
          <c:dPt>
            <c:idx val="2"/>
            <c:bubble3D val="0"/>
            <c:spPr>
              <a:solidFill>
                <a:srgbClr val="FF33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A-66B0-4CC3-A541-116B617D5AC4}"/>
              </c:ext>
            </c:extLst>
          </c:dPt>
          <c:dLbls>
            <c:dLbl>
              <c:idx val="0"/>
              <c:layout>
                <c:manualLayout>
                  <c:x val="0.15857103645948736"/>
                  <c:y val="3.7063532220284329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66B0-4CC3-A541-116B617D5AC4}"/>
                </c:ext>
              </c:extLst>
            </c:dLbl>
            <c:dLbl>
              <c:idx val="1"/>
              <c:layout>
                <c:manualLayout>
                  <c:x val="-0.16663397051674947"/>
                  <c:y val="-1.8531766110142209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66B0-4CC3-A541-116B617D5AC4}"/>
                </c:ext>
              </c:extLst>
            </c:dLbl>
            <c:dLbl>
              <c:idx val="2"/>
              <c:layout>
                <c:manualLayout>
                  <c:x val="0.20426099611730575"/>
                  <c:y val="-1.3898824582606625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A-66B0-4CC3-A541-116B617D5AC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tx1">
                      <a:alpha val="54000"/>
                    </a:schemeClr>
                  </a:solidFill>
                </a:ln>
                <a:effectLst/>
              </c:spPr>
            </c:leaderLines>
            <c:extLst>
              <c:ext xmlns:c15="http://schemas.microsoft.com/office/drawing/2012/chart" uri="{CE6537A1-D6FC-4f65-9D91-7224C49458BB}"/>
            </c:extLst>
          </c:dLbls>
          <c:cat>
            <c:strRef>
              <c:f>PIVOT!$D$4:$D$7</c:f>
              <c:strCache>
                <c:ptCount val="3"/>
                <c:pt idx="0">
                  <c:v>Electronics</c:v>
                </c:pt>
                <c:pt idx="1">
                  <c:v>Furniture</c:v>
                </c:pt>
                <c:pt idx="2">
                  <c:v>Stationery</c:v>
                </c:pt>
              </c:strCache>
            </c:strRef>
          </c:cat>
          <c:val>
            <c:numRef>
              <c:f>PIVOT!$E$4:$E$7</c:f>
              <c:numCache>
                <c:formatCode>General</c:formatCode>
                <c:ptCount val="3"/>
                <c:pt idx="0">
                  <c:v>30000</c:v>
                </c:pt>
                <c:pt idx="1">
                  <c:v>800</c:v>
                </c:pt>
                <c:pt idx="2">
                  <c:v>290</c:v>
                </c:pt>
              </c:numCache>
            </c:numRef>
          </c:val>
          <c:extLst>
            <c:ext xmlns:c16="http://schemas.microsoft.com/office/drawing/2014/chart" uri="{C3380CC4-5D6E-409C-BE32-E72D297353CC}">
              <c16:uniqueId val="{00000006-66B0-4CC3-A541-116B617D5AC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solidFill>
          <a:schemeClr val="accent1">
            <a:lumMod val="60000"/>
            <a:lumOff val="40000"/>
          </a:schemeClr>
        </a:solid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a:solidFill>
        <a:schemeClr val="tx1"/>
      </a:solidFill>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 Sales Dashboard.xlsx]PIVOT!PivotTable1</c:name>
    <c:fmtId val="21"/>
  </c:pivotSource>
  <c:chart>
    <c:title>
      <c:tx>
        <c:rich>
          <a:bodyPr rot="0" spcFirstLastPara="1" vertOverflow="ellipsis" vert="horz" wrap="square" anchor="ctr" anchorCtr="1"/>
          <a:lstStyle/>
          <a:p>
            <a:pPr>
              <a:defRPr sz="1500" b="1" i="0" u="none" strike="noStrike" kern="1200" cap="all" spc="100" normalizeH="0" baseline="0">
                <a:solidFill>
                  <a:schemeClr val="tx1">
                    <a:alpha val="94000"/>
                  </a:schemeClr>
                </a:solidFill>
                <a:latin typeface="+mn-lt"/>
                <a:ea typeface="+mn-ea"/>
                <a:cs typeface="+mn-cs"/>
              </a:defRPr>
            </a:pPr>
            <a:r>
              <a:rPr lang="en-US"/>
              <a:t>JAN SALES</a:t>
            </a:r>
          </a:p>
        </c:rich>
      </c:tx>
      <c:layout>
        <c:manualLayout>
          <c:xMode val="edge"/>
          <c:yMode val="edge"/>
          <c:x val="0.37611414302112495"/>
          <c:y val="6.2310252455556455E-3"/>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tx1">
                  <a:alpha val="94000"/>
                </a:schemeClr>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F81BD"/>
            </a:solidFill>
            <a:ln>
              <a:noFill/>
            </a:ln>
            <a:effectLst/>
          </c:spPr>
          <c:txPr>
            <a:bodyPr rot="0" spcFirstLastPara="1" vertOverflow="ellipsis" vert="horz" wrap="square" anchor="ctr" anchorCtr="1"/>
            <a:lstStyle/>
            <a:p>
              <a:pPr>
                <a:defRPr sz="900" b="1" i="0" u="none" strike="noStrike" kern="1200" baseline="0">
                  <a:solidFill>
                    <a:schemeClr val="tx1">
                      <a:alpha val="94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F81BD"/>
              </a:solidFill>
              <a:ln>
                <a:noFill/>
              </a:ln>
              <a:effectLst/>
            </c:spPr>
            <c:txPr>
              <a:bodyPr rot="0" spcFirstLastPara="1" vertOverflow="ellipsis" vert="horz" wrap="square" anchor="ctr" anchorCtr="1"/>
              <a:lstStyle/>
              <a:p>
                <a:pPr>
                  <a:defRPr sz="900" b="1" i="0" u="none" strike="noStrike" kern="1200" baseline="0">
                    <a:solidFill>
                      <a:schemeClr val="tx1">
                        <a:alpha val="94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PIVOT!$A$4:$A$5</c:f>
              <c:strCache>
                <c:ptCount val="1"/>
                <c:pt idx="0">
                  <c:v>Jan</c:v>
                </c:pt>
              </c:strCache>
            </c:strRef>
          </c:cat>
          <c:val>
            <c:numRef>
              <c:f>PIVOT!$B$4:$B$5</c:f>
              <c:numCache>
                <c:formatCode>General</c:formatCode>
                <c:ptCount val="1"/>
                <c:pt idx="0">
                  <c:v>93800</c:v>
                </c:pt>
              </c:numCache>
            </c:numRef>
          </c:val>
          <c:smooth val="0"/>
          <c:extLst>
            <c:ext xmlns:c16="http://schemas.microsoft.com/office/drawing/2014/chart" uri="{C3380CC4-5D6E-409C-BE32-E72D297353CC}">
              <c16:uniqueId val="{00000000-4B82-4410-B21D-71738A3BE2AF}"/>
            </c:ext>
          </c:extLst>
        </c:ser>
        <c:dLbls>
          <c:dLblPos val="ctr"/>
          <c:showLegendKey val="0"/>
          <c:showVal val="1"/>
          <c:showCatName val="0"/>
          <c:showSerName val="0"/>
          <c:showPercent val="0"/>
          <c:showBubbleSize val="0"/>
        </c:dLbls>
        <c:dropLines>
          <c:spPr>
            <a:ln w="9525" cap="flat" cmpd="sng" algn="ctr">
              <a:solidFill>
                <a:schemeClr val="tx1">
                  <a:lumMod val="50000"/>
                  <a:lumOff val="50000"/>
                </a:schemeClr>
              </a:solidFill>
              <a:round/>
            </a:ln>
            <a:effectLst/>
          </c:spPr>
        </c:dropLines>
        <c:marker val="1"/>
        <c:smooth val="0"/>
        <c:axId val="916453807"/>
        <c:axId val="851950639"/>
      </c:lineChart>
      <c:catAx>
        <c:axId val="9164538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tx1">
                    <a:alpha val="94000"/>
                  </a:schemeClr>
                </a:solidFill>
                <a:latin typeface="+mn-lt"/>
                <a:ea typeface="+mn-ea"/>
                <a:cs typeface="+mn-cs"/>
              </a:defRPr>
            </a:pPr>
            <a:endParaRPr lang="en-US"/>
          </a:p>
        </c:txPr>
        <c:crossAx val="851950639"/>
        <c:crosses val="autoZero"/>
        <c:auto val="1"/>
        <c:lblAlgn val="ctr"/>
        <c:lblOffset val="100"/>
        <c:noMultiLvlLbl val="0"/>
      </c:catAx>
      <c:valAx>
        <c:axId val="851950639"/>
        <c:scaling>
          <c:orientation val="minMax"/>
        </c:scaling>
        <c:delete val="1"/>
        <c:axPos val="l"/>
        <c:numFmt formatCode="General" sourceLinked="1"/>
        <c:majorTickMark val="none"/>
        <c:minorTickMark val="none"/>
        <c:tickLblPos val="nextTo"/>
        <c:crossAx val="916453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solidFill>
            <a:schemeClr val="tx1">
              <a:alpha val="94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 Sales Dashboard.xlsx]PIVOT!PivotTable3</c:name>
    <c:fmtId val="16"/>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schemeClr val="bg1">
                      <a:alpha val="40000"/>
                    </a:schemeClr>
                  </a:outerShdw>
                </a:effectLst>
                <a:latin typeface="+mn-lt"/>
                <a:ea typeface="+mn-ea"/>
                <a:cs typeface="+mn-cs"/>
              </a:defRPr>
            </a:pPr>
            <a:r>
              <a:rPr lang="en-US">
                <a:effectLst>
                  <a:outerShdw blurRad="50800" dist="38100" dir="5400000" algn="t" rotWithShape="0">
                    <a:schemeClr val="bg1">
                      <a:alpha val="40000"/>
                    </a:schemeClr>
                  </a:outerShdw>
                </a:effectLst>
              </a:rPr>
              <a:t>Region Sales</a:t>
            </a:r>
          </a:p>
        </c:rich>
      </c:tx>
      <c:layout>
        <c:manualLayout>
          <c:xMode val="edge"/>
          <c:yMode val="edge"/>
          <c:x val="0.29265510768800085"/>
          <c:y val="4.44559184200335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schemeClr val="bg1">
                    <a:alpha val="40000"/>
                  </a:schemeClr>
                </a:outerShdw>
              </a:effectLst>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PIVOT!$B$11</c:f>
              <c:strCache>
                <c:ptCount val="1"/>
                <c:pt idx="0">
                  <c:v>Total</c:v>
                </c:pt>
              </c:strCache>
            </c:strRef>
          </c:tx>
          <c:dPt>
            <c:idx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B247-4FDB-B731-638D035A98A2}"/>
              </c:ext>
            </c:extLst>
          </c:dPt>
          <c:dPt>
            <c:idx val="1"/>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B247-4FDB-B731-638D035A98A2}"/>
              </c:ext>
            </c:extLst>
          </c:dPt>
          <c:dPt>
            <c:idx val="2"/>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B247-4FDB-B731-638D035A98A2}"/>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PIVOT!$A$12:$A$15</c:f>
              <c:strCache>
                <c:ptCount val="3"/>
                <c:pt idx="0">
                  <c:v>Kerala</c:v>
                </c:pt>
                <c:pt idx="1">
                  <c:v>Tamil Nadu</c:v>
                </c:pt>
                <c:pt idx="2">
                  <c:v>Telangana</c:v>
                </c:pt>
              </c:strCache>
            </c:strRef>
          </c:cat>
          <c:val>
            <c:numRef>
              <c:f>PIVOT!$B$12:$B$15</c:f>
              <c:numCache>
                <c:formatCode>General</c:formatCode>
                <c:ptCount val="3"/>
                <c:pt idx="0">
                  <c:v>2800</c:v>
                </c:pt>
                <c:pt idx="1">
                  <c:v>39000</c:v>
                </c:pt>
                <c:pt idx="2">
                  <c:v>52000</c:v>
                </c:pt>
              </c:numCache>
            </c:numRef>
          </c:val>
          <c:extLst>
            <c:ext xmlns:c16="http://schemas.microsoft.com/office/drawing/2014/chart" uri="{C3380CC4-5D6E-409C-BE32-E72D297353CC}">
              <c16:uniqueId val="{00000006-B247-4FDB-B731-638D035A98A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tx2">
            <a:lumMod val="20000"/>
            <a:lumOff val="80000"/>
          </a:schemeClr>
        </a:solid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a:solidFill>
        <a:schemeClr val="tx1"/>
      </a:solidFill>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[Retails Sales Dashboard.xlsx]PIVOT!PivotTable2</c:name>
    <c:fmtId val="10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Category Sales</a:t>
            </a:r>
          </a:p>
        </c:rich>
      </c:tx>
      <c:layout>
        <c:manualLayout>
          <c:xMode val="edge"/>
          <c:yMode val="edge"/>
          <c:x val="0.3344354133152711"/>
          <c:y val="1.17682467707618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PIVOT!$E$3</c:f>
              <c:strCache>
                <c:ptCount val="1"/>
                <c:pt idx="0">
                  <c:v>Total</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PIVOT!$D$4:$D$7</c:f>
              <c:strCache>
                <c:ptCount val="3"/>
                <c:pt idx="0">
                  <c:v>Electronics</c:v>
                </c:pt>
                <c:pt idx="1">
                  <c:v>Furniture</c:v>
                </c:pt>
                <c:pt idx="2">
                  <c:v>Stationery</c:v>
                </c:pt>
              </c:strCache>
            </c:strRef>
          </c:cat>
          <c:val>
            <c:numRef>
              <c:f>PIVOT!$E$4:$E$7</c:f>
              <c:numCache>
                <c:formatCode>General</c:formatCode>
                <c:ptCount val="3"/>
                <c:pt idx="0">
                  <c:v>30000</c:v>
                </c:pt>
                <c:pt idx="1">
                  <c:v>800</c:v>
                </c:pt>
                <c:pt idx="2">
                  <c:v>290</c:v>
                </c:pt>
              </c:numCache>
            </c:numRef>
          </c:val>
          <c:extLst>
            <c:ext xmlns:c16="http://schemas.microsoft.com/office/drawing/2014/chart" uri="{C3380CC4-5D6E-409C-BE32-E72D297353CC}">
              <c16:uniqueId val="{00000000-8F7E-4414-8EC1-AD5BA9B36A5C}"/>
            </c:ext>
          </c:extLst>
        </c:ser>
        <c:dLbls>
          <c:showLegendKey val="0"/>
          <c:showVal val="1"/>
          <c:showCatName val="0"/>
          <c:showSerName val="0"/>
          <c:showPercent val="0"/>
          <c:showBubbleSize val="0"/>
        </c:dLbls>
        <c:gapWidth val="150"/>
        <c:shape val="box"/>
        <c:axId val="990541391"/>
        <c:axId val="1225578671"/>
        <c:axId val="0"/>
      </c:bar3DChart>
      <c:catAx>
        <c:axId val="9905413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25578671"/>
        <c:crosses val="autoZero"/>
        <c:auto val="1"/>
        <c:lblAlgn val="ctr"/>
        <c:lblOffset val="100"/>
        <c:noMultiLvlLbl val="0"/>
      </c:catAx>
      <c:valAx>
        <c:axId val="1225578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90541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Top10 Products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v>Total</c:v>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Laptop</c:v>
              </c:pt>
              <c:pt idx="1">
                <c:v>Mobile</c:v>
              </c:pt>
              <c:pt idx="2">
                <c:v>Chair</c:v>
              </c:pt>
              <c:pt idx="3">
                <c:v>Keyboard</c:v>
              </c:pt>
              <c:pt idx="4">
                <c:v>Pen</c:v>
              </c:pt>
            </c:strLit>
          </c:cat>
          <c:val>
            <c:numLit>
              <c:formatCode>General</c:formatCode>
              <c:ptCount val="5"/>
              <c:pt idx="0">
                <c:v>52000</c:v>
              </c:pt>
              <c:pt idx="1">
                <c:v>36000</c:v>
              </c:pt>
              <c:pt idx="2">
                <c:v>2800</c:v>
              </c:pt>
              <c:pt idx="3">
                <c:v>2700</c:v>
              </c:pt>
              <c:pt idx="4">
                <c:v>300</c:v>
              </c:pt>
            </c:numLit>
          </c:val>
          <c:extLst>
            <c:ext xmlns:c16="http://schemas.microsoft.com/office/drawing/2014/chart" uri="{C3380CC4-5D6E-409C-BE32-E72D297353CC}">
              <c16:uniqueId val="{00000000-6242-4C47-B504-7E15430CAA92}"/>
            </c:ext>
          </c:extLst>
        </c:ser>
        <c:dLbls>
          <c:showLegendKey val="0"/>
          <c:showVal val="1"/>
          <c:showCatName val="0"/>
          <c:showSerName val="0"/>
          <c:showPercent val="0"/>
          <c:showBubbleSize val="0"/>
        </c:dLbls>
        <c:gapWidth val="150"/>
        <c:shape val="box"/>
        <c:axId val="1159718047"/>
        <c:axId val="851936719"/>
        <c:axId val="0"/>
      </c:bar3DChart>
      <c:catAx>
        <c:axId val="115971804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51936719"/>
        <c:crosses val="autoZero"/>
        <c:auto val="1"/>
        <c:lblAlgn val="ctr"/>
        <c:lblOffset val="100"/>
        <c:noMultiLvlLbl val="0"/>
      </c:catAx>
      <c:valAx>
        <c:axId val="8519367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59718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[Retails Sales Dashboard.xlsx]PIVOT!PivotTable4</c:name>
    <c:fmtId val="1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solidFill>
                  <a:schemeClr val="tx1"/>
                </a:solidFill>
              </a:rPr>
              <a:t>Salesperson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20ED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PIVOT!$E$11</c:f>
              <c:strCache>
                <c:ptCount val="1"/>
                <c:pt idx="0">
                  <c:v>Total</c:v>
                </c:pt>
              </c:strCache>
            </c:strRef>
          </c:tx>
          <c:spPr>
            <a:solidFill>
              <a:srgbClr val="E20ED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PIVOT!$D$12:$D$17</c:f>
              <c:strCache>
                <c:ptCount val="5"/>
                <c:pt idx="0">
                  <c:v>Ajay</c:v>
                </c:pt>
                <c:pt idx="1">
                  <c:v>Deepa</c:v>
                </c:pt>
                <c:pt idx="2">
                  <c:v>Kumar</c:v>
                </c:pt>
                <c:pt idx="3">
                  <c:v>Nisha</c:v>
                </c:pt>
                <c:pt idx="4">
                  <c:v>Ravi</c:v>
                </c:pt>
              </c:strCache>
            </c:strRef>
          </c:cat>
          <c:val>
            <c:numRef>
              <c:f>PIVOT!$E$12:$E$17</c:f>
              <c:numCache>
                <c:formatCode>General</c:formatCode>
                <c:ptCount val="5"/>
                <c:pt idx="0">
                  <c:v>52000</c:v>
                </c:pt>
                <c:pt idx="1">
                  <c:v>2700</c:v>
                </c:pt>
                <c:pt idx="2">
                  <c:v>36000</c:v>
                </c:pt>
                <c:pt idx="3">
                  <c:v>300</c:v>
                </c:pt>
                <c:pt idx="4">
                  <c:v>2800</c:v>
                </c:pt>
              </c:numCache>
            </c:numRef>
          </c:val>
          <c:extLst>
            <c:ext xmlns:c16="http://schemas.microsoft.com/office/drawing/2014/chart" uri="{C3380CC4-5D6E-409C-BE32-E72D297353CC}">
              <c16:uniqueId val="{00000000-292D-4A02-89BB-A1CBB76C9D4C}"/>
            </c:ext>
          </c:extLst>
        </c:ser>
        <c:dLbls>
          <c:showLegendKey val="0"/>
          <c:showVal val="1"/>
          <c:showCatName val="0"/>
          <c:showSerName val="0"/>
          <c:showPercent val="0"/>
          <c:showBubbleSize val="0"/>
        </c:dLbls>
        <c:gapWidth val="150"/>
        <c:shape val="box"/>
        <c:axId val="1140100991"/>
        <c:axId val="1225559471"/>
        <c:axId val="1024394415"/>
      </c:bar3DChart>
      <c:catAx>
        <c:axId val="11401009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25559471"/>
        <c:crosses val="autoZero"/>
        <c:auto val="1"/>
        <c:lblAlgn val="ctr"/>
        <c:lblOffset val="100"/>
        <c:noMultiLvlLbl val="0"/>
      </c:catAx>
      <c:valAx>
        <c:axId val="1225559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40100991"/>
        <c:crosses val="autoZero"/>
        <c:crossBetween val="between"/>
      </c:valAx>
      <c:serAx>
        <c:axId val="1024394415"/>
        <c:scaling>
          <c:orientation val="minMax"/>
        </c:scaling>
        <c:delete val="1"/>
        <c:axPos val="b"/>
        <c:majorTickMark val="none"/>
        <c:minorTickMark val="none"/>
        <c:tickLblPos val="nextTo"/>
        <c:crossAx val="1225559471"/>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[Retails Sales Dashboard.xlsx]PIVOT!PivotTable2</c:name>
    <c:fmtId val="11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dLbl>
          <c:idx val="0"/>
          <c:layout>
            <c:manualLayout>
              <c:x val="0.18055555555555555"/>
              <c:y val="5.5555555555555552E-2"/>
            </c:manualLayout>
          </c:layout>
          <c:showLegendKey val="0"/>
          <c:showVal val="1"/>
          <c:showCatName val="0"/>
          <c:showSerName val="0"/>
          <c:showPercent val="1"/>
          <c:showBubbleSize val="0"/>
          <c:extLst>
            <c:ext xmlns:c15="http://schemas.microsoft.com/office/drawing/2012/chart" uri="{CE6537A1-D6FC-4f65-9D91-7224C49458BB}"/>
          </c:extLst>
        </c:dLbl>
      </c:pivotFmt>
      <c:pivotFmt>
        <c:idx val="4"/>
        <c:dLbl>
          <c:idx val="0"/>
          <c:showLegendKey val="0"/>
          <c:showVal val="1"/>
          <c:showCatName val="0"/>
          <c:showSerName val="0"/>
          <c:showPercent val="1"/>
          <c:showBubbleSize val="0"/>
          <c:extLst>
            <c:ext xmlns:c15="http://schemas.microsoft.com/office/drawing/2012/chart" uri="{CE6537A1-D6FC-4f65-9D91-7224C49458BB}"/>
          </c:extLst>
        </c:dLbl>
      </c:pivotFmt>
      <c:pivotFmt>
        <c:idx val="5"/>
        <c:dLbl>
          <c:idx val="0"/>
          <c:layout>
            <c:manualLayout>
              <c:x val="0.18055555555555555"/>
              <c:y val="5.5555555555555552E-2"/>
            </c:manualLayout>
          </c:layout>
          <c:showLegendKey val="0"/>
          <c:showVal val="1"/>
          <c:showCatName val="0"/>
          <c:showSerName val="0"/>
          <c:showPercent val="1"/>
          <c:showBubbleSize val="0"/>
          <c:extLst>
            <c:ext xmlns:c15="http://schemas.microsoft.com/office/drawing/2012/chart" uri="{CE6537A1-D6FC-4f65-9D91-7224C49458BB}"/>
          </c:extLst>
        </c:dLbl>
      </c:pivotFmt>
      <c:pivotFmt>
        <c:idx val="6"/>
        <c:dLbl>
          <c:idx val="0"/>
          <c:layout>
            <c:manualLayout>
              <c:x val="-0.11944444444444449"/>
              <c:y val="-2.7777777777777821E-2"/>
            </c:manualLayout>
          </c:layout>
          <c:showLegendKey val="0"/>
          <c:showVal val="1"/>
          <c:showCatName val="0"/>
          <c:showSerName val="0"/>
          <c:showPercent val="1"/>
          <c:showBubbleSize val="0"/>
          <c:extLst>
            <c:ext xmlns:c15="http://schemas.microsoft.com/office/drawing/2012/chart" uri="{CE6537A1-D6FC-4f65-9D91-7224C49458BB}"/>
          </c:extLst>
        </c:dLbl>
      </c:pivotFmt>
      <c:pivotFmt>
        <c:idx val="7"/>
        <c:dLbl>
          <c:idx val="0"/>
          <c:layout>
            <c:manualLayout>
              <c:x val="0.19444444444444445"/>
              <c:y val="2.7777777777777776E-2"/>
            </c:manualLayout>
          </c:layout>
          <c:showLegendKey val="0"/>
          <c:showVal val="1"/>
          <c:showCatName val="0"/>
          <c:showSerName val="0"/>
          <c:showPercent val="1"/>
          <c:showBubbleSize val="0"/>
          <c:extLst>
            <c:ext xmlns:c15="http://schemas.microsoft.com/office/drawing/2012/chart" uri="{CE6537A1-D6FC-4f65-9D91-7224C49458BB}"/>
          </c:extLst>
        </c:dLbl>
      </c:pivotFmt>
      <c:pivotFmt>
        <c:idx val="8"/>
        <c:dLbl>
          <c:idx val="0"/>
          <c:showLegendKey val="0"/>
          <c:showVal val="1"/>
          <c:showCatName val="0"/>
          <c:showSerName val="0"/>
          <c:showPercent val="1"/>
          <c:showBubbleSize val="0"/>
          <c:extLst>
            <c:ext xmlns:c15="http://schemas.microsoft.com/office/drawing/2012/chart" uri="{CE6537A1-D6FC-4f65-9D91-7224C49458BB}"/>
          </c:extLst>
        </c:dLbl>
      </c:pivotFmt>
      <c:pivotFmt>
        <c:idx val="9"/>
        <c:dLbl>
          <c:idx val="0"/>
          <c:layout>
            <c:manualLayout>
              <c:x val="0.18055555555555555"/>
              <c:y val="5.5555555555555552E-2"/>
            </c:manualLayout>
          </c:layout>
          <c:showLegendKey val="0"/>
          <c:showVal val="1"/>
          <c:showCatName val="0"/>
          <c:showSerName val="0"/>
          <c:showPercent val="1"/>
          <c:showBubbleSize val="0"/>
          <c:extLst>
            <c:ext xmlns:c15="http://schemas.microsoft.com/office/drawing/2012/chart" uri="{CE6537A1-D6FC-4f65-9D91-7224C49458BB}"/>
          </c:extLst>
        </c:dLbl>
      </c:pivotFmt>
      <c:pivotFmt>
        <c:idx val="10"/>
        <c:dLbl>
          <c:idx val="0"/>
          <c:layout>
            <c:manualLayout>
              <c:x val="-0.11944444444444449"/>
              <c:y val="-2.7777777777777821E-2"/>
            </c:manualLayout>
          </c:layout>
          <c:showLegendKey val="0"/>
          <c:showVal val="1"/>
          <c:showCatName val="0"/>
          <c:showSerName val="0"/>
          <c:showPercent val="1"/>
          <c:showBubbleSize val="0"/>
          <c:extLst>
            <c:ext xmlns:c15="http://schemas.microsoft.com/office/drawing/2012/chart" uri="{CE6537A1-D6FC-4f65-9D91-7224C49458BB}"/>
          </c:extLst>
        </c:dLbl>
      </c:pivotFmt>
      <c:pivotFmt>
        <c:idx val="11"/>
        <c:dLbl>
          <c:idx val="0"/>
          <c:layout>
            <c:manualLayout>
              <c:x val="0.19444444444444445"/>
              <c:y val="2.7777777777777776E-2"/>
            </c:manualLayout>
          </c:layout>
          <c:showLegendKey val="0"/>
          <c:showVal val="1"/>
          <c:showCatName val="0"/>
          <c:showSerName val="0"/>
          <c:showPercent val="1"/>
          <c:showBubbleSize val="0"/>
          <c:extLst>
            <c:ext xmlns:c15="http://schemas.microsoft.com/office/drawing/2012/chart" uri="{CE6537A1-D6FC-4f65-9D91-7224C49458BB}"/>
          </c:extLst>
        </c:dLbl>
      </c:pivotFmt>
      <c:pivotFmt>
        <c:idx val="12"/>
        <c:dLbl>
          <c:idx val="0"/>
          <c:showLegendKey val="0"/>
          <c:showVal val="1"/>
          <c:showCatName val="0"/>
          <c:showSerName val="0"/>
          <c:showPercent val="1"/>
          <c:showBubbleSize val="0"/>
          <c:extLst>
            <c:ext xmlns:c15="http://schemas.microsoft.com/office/drawing/2012/chart" uri="{CE6537A1-D6FC-4f65-9D91-7224C49458BB}"/>
          </c:extLst>
        </c:dLbl>
      </c:pivotFmt>
      <c:pivotFmt>
        <c:idx val="13"/>
        <c:dLbl>
          <c:idx val="0"/>
          <c:layout>
            <c:manualLayout>
              <c:x val="0.18055555555555555"/>
              <c:y val="5.5555555555555552E-2"/>
            </c:manualLayout>
          </c:layout>
          <c:showLegendKey val="0"/>
          <c:showVal val="1"/>
          <c:showCatName val="0"/>
          <c:showSerName val="0"/>
          <c:showPercent val="1"/>
          <c:showBubbleSize val="0"/>
          <c:extLst>
            <c:ext xmlns:c15="http://schemas.microsoft.com/office/drawing/2012/chart" uri="{CE6537A1-D6FC-4f65-9D91-7224C49458BB}"/>
          </c:extLst>
        </c:dLbl>
      </c:pivotFmt>
      <c:pivotFmt>
        <c:idx val="14"/>
        <c:dLbl>
          <c:idx val="0"/>
          <c:layout>
            <c:manualLayout>
              <c:x val="-0.11944444444444449"/>
              <c:y val="-2.7777777777777821E-2"/>
            </c:manualLayout>
          </c:layout>
          <c:showLegendKey val="0"/>
          <c:showVal val="1"/>
          <c:showCatName val="0"/>
          <c:showSerName val="0"/>
          <c:showPercent val="1"/>
          <c:showBubbleSize val="0"/>
          <c:extLst>
            <c:ext xmlns:c15="http://schemas.microsoft.com/office/drawing/2012/chart" uri="{CE6537A1-D6FC-4f65-9D91-7224C49458BB}"/>
          </c:extLst>
        </c:dLbl>
      </c:pivotFmt>
      <c:pivotFmt>
        <c:idx val="15"/>
        <c:dLbl>
          <c:idx val="0"/>
          <c:layout>
            <c:manualLayout>
              <c:x val="0.19444444444444445"/>
              <c:y val="2.7777777777777776E-2"/>
            </c:manualLayout>
          </c:layout>
          <c:showLegendKey val="0"/>
          <c:showVal val="1"/>
          <c:showCatName val="0"/>
          <c:showSerName val="0"/>
          <c:showPercent val="1"/>
          <c:showBubbleSize val="0"/>
          <c:extLst>
            <c:ext xmlns:c15="http://schemas.microsoft.com/office/drawing/2012/chart" uri="{CE6537A1-D6FC-4f65-9D91-7224C49458BB}"/>
          </c:extLst>
        </c:dLbl>
      </c:pivotFmt>
      <c:pivotFmt>
        <c:idx val="16"/>
        <c:dLbl>
          <c:idx val="0"/>
          <c:showLegendKey val="0"/>
          <c:showVal val="1"/>
          <c:showCatName val="0"/>
          <c:showSerName val="0"/>
          <c:showPercent val="1"/>
          <c:showBubbleSize val="0"/>
          <c:extLst>
            <c:ext xmlns:c15="http://schemas.microsoft.com/office/drawing/2012/chart" uri="{CE6537A1-D6FC-4f65-9D91-7224C49458BB}"/>
          </c:extLst>
        </c:dLbl>
      </c:pivotFmt>
      <c:pivotFmt>
        <c:idx val="17"/>
        <c:dLbl>
          <c:idx val="0"/>
          <c:layout>
            <c:manualLayout>
              <c:x val="0.18055555555555555"/>
              <c:y val="5.5555555555555552E-2"/>
            </c:manualLayout>
          </c:layout>
          <c:showLegendKey val="0"/>
          <c:showVal val="1"/>
          <c:showCatName val="0"/>
          <c:showSerName val="0"/>
          <c:showPercent val="1"/>
          <c:showBubbleSize val="0"/>
          <c:extLst>
            <c:ext xmlns:c15="http://schemas.microsoft.com/office/drawing/2012/chart" uri="{CE6537A1-D6FC-4f65-9D91-7224C49458BB}"/>
          </c:extLst>
        </c:dLbl>
      </c:pivotFmt>
      <c:pivotFmt>
        <c:idx val="18"/>
        <c:dLbl>
          <c:idx val="0"/>
          <c:layout>
            <c:manualLayout>
              <c:x val="-0.11944444444444449"/>
              <c:y val="-2.7777777777777821E-2"/>
            </c:manualLayout>
          </c:layout>
          <c:showLegendKey val="0"/>
          <c:showVal val="1"/>
          <c:showCatName val="0"/>
          <c:showSerName val="0"/>
          <c:showPercent val="1"/>
          <c:showBubbleSize val="0"/>
          <c:extLst>
            <c:ext xmlns:c15="http://schemas.microsoft.com/office/drawing/2012/chart" uri="{CE6537A1-D6FC-4f65-9D91-7224C49458BB}"/>
          </c:extLst>
        </c:dLbl>
      </c:pivotFmt>
      <c:pivotFmt>
        <c:idx val="19"/>
        <c:dLbl>
          <c:idx val="0"/>
          <c:layout>
            <c:manualLayout>
              <c:x val="0.19444444444444445"/>
              <c:y val="2.7777777777777776E-2"/>
            </c:manualLayout>
          </c:layout>
          <c:showLegendKey val="0"/>
          <c:showVal val="1"/>
          <c:showCatName val="0"/>
          <c:showSerName val="0"/>
          <c:showPercent val="1"/>
          <c:showBubbleSize val="0"/>
          <c:extLst>
            <c:ext xmlns:c15="http://schemas.microsoft.com/office/drawing/2012/chart" uri="{CE6537A1-D6FC-4f65-9D91-7224C49458BB}"/>
          </c:extLst>
        </c:dLbl>
      </c:pivotFmt>
      <c:pivotFmt>
        <c:idx val="20"/>
        <c:dLbl>
          <c:idx val="0"/>
          <c:showLegendKey val="0"/>
          <c:showVal val="1"/>
          <c:showCatName val="0"/>
          <c:showSerName val="0"/>
          <c:showPercent val="1"/>
          <c:showBubbleSize val="0"/>
          <c:extLst>
            <c:ext xmlns:c15="http://schemas.microsoft.com/office/drawing/2012/chart" uri="{CE6537A1-D6FC-4f65-9D91-7224C49458BB}"/>
          </c:extLst>
        </c:dLbl>
      </c:pivotFmt>
      <c:pivotFmt>
        <c:idx val="21"/>
        <c:dLbl>
          <c:idx val="0"/>
          <c:layout>
            <c:manualLayout>
              <c:x val="0.24800010414702536"/>
              <c:y val="-4.7885063781396807E-2"/>
            </c:manualLayout>
          </c:layout>
          <c:showLegendKey val="0"/>
          <c:showVal val="1"/>
          <c:showCatName val="0"/>
          <c:showSerName val="0"/>
          <c:showPercent val="1"/>
          <c:showBubbleSize val="0"/>
          <c:extLst>
            <c:ext xmlns:c15="http://schemas.microsoft.com/office/drawing/2012/chart" uri="{CE6537A1-D6FC-4f65-9D91-7224C49458BB}"/>
          </c:extLst>
        </c:dLbl>
      </c:pivotFmt>
      <c:pivotFmt>
        <c:idx val="22"/>
        <c:dLbl>
          <c:idx val="0"/>
          <c:layout>
            <c:manualLayout>
              <c:x val="-0.21600009070869952"/>
              <c:y val="-2.3942531890698428E-2"/>
            </c:manualLayout>
          </c:layout>
          <c:showLegendKey val="0"/>
          <c:showVal val="1"/>
          <c:showCatName val="0"/>
          <c:showSerName val="0"/>
          <c:showPercent val="1"/>
          <c:showBubbleSize val="0"/>
          <c:extLst>
            <c:ext xmlns:c15="http://schemas.microsoft.com/office/drawing/2012/chart" uri="{CE6537A1-D6FC-4f65-9D91-7224C49458BB}"/>
          </c:extLst>
        </c:dLbl>
      </c:pivotFmt>
      <c:pivotFmt>
        <c:idx val="23"/>
        <c:dLbl>
          <c:idx val="0"/>
          <c:layout>
            <c:manualLayout>
              <c:x val="0.19200008062995513"/>
              <c:y val="2.3942531890698383E-2"/>
            </c:manualLayout>
          </c:layout>
          <c:showLegendKey val="0"/>
          <c:showVal val="1"/>
          <c:showCatName val="0"/>
          <c:showSerName val="0"/>
          <c:showPercent val="1"/>
          <c:showBubbleSize val="0"/>
          <c:extLst>
            <c:ext xmlns:c15="http://schemas.microsoft.com/office/drawing/2012/chart" uri="{CE6537A1-D6FC-4f65-9D91-7224C49458BB}">
              <c15:layout>
                <c:manualLayout>
                  <c:w val="0.14298672671358603"/>
                  <c:h val="5.3655402490928233E-2"/>
                </c:manualLayout>
              </c15:layout>
            </c:ext>
          </c:extLst>
        </c:dLbl>
      </c:pivotFmt>
      <c:pivotFmt>
        <c:idx val="2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solidFill>
              <a:srgbClr val="00B05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5"/>
        <c:spPr>
          <a:solidFill>
            <a:srgbClr val="FFFF00"/>
          </a:solidFill>
          <a:ln>
            <a:solidFill>
              <a:srgbClr val="00B05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6666677865271543"/>
              <c:y val="-1.4365519134419073E-2"/>
            </c:manualLayout>
          </c:layout>
          <c:showLegendKey val="0"/>
          <c:showVal val="1"/>
          <c:showCatName val="0"/>
          <c:showSerName val="0"/>
          <c:showPercent val="1"/>
          <c:showBubbleSize val="0"/>
          <c:extLst>
            <c:ext xmlns:c15="http://schemas.microsoft.com/office/drawing/2012/chart" uri="{CE6537A1-D6FC-4f65-9D91-7224C49458BB}"/>
          </c:extLst>
        </c:dLbl>
      </c:pivotFmt>
      <c:pivotFmt>
        <c:idx val="26"/>
        <c:spPr>
          <a:solidFill>
            <a:srgbClr val="C00000"/>
          </a:solidFill>
          <a:ln>
            <a:solidFill>
              <a:srgbClr val="00B05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4000010078744394"/>
              <c:y val="2.3942531890698383E-2"/>
            </c:manualLayout>
          </c:layout>
          <c:showLegendKey val="0"/>
          <c:showVal val="1"/>
          <c:showCatName val="0"/>
          <c:showSerName val="0"/>
          <c:showPercent val="1"/>
          <c:showBubbleSize val="0"/>
          <c:extLst>
            <c:ext xmlns:c15="http://schemas.microsoft.com/office/drawing/2012/chart" uri="{CE6537A1-D6FC-4f65-9D91-7224C49458BB}"/>
          </c:extLst>
        </c:dLbl>
      </c:pivotFmt>
      <c:pivotFmt>
        <c:idx val="27"/>
        <c:spPr>
          <a:solidFill>
            <a:srgbClr val="E20ED3"/>
          </a:solidFill>
          <a:ln>
            <a:solidFill>
              <a:srgbClr val="00B05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5866677529313398"/>
              <c:y val="4.7885063781396765E-2"/>
            </c:manualLayout>
          </c:layout>
          <c:showLegendKey val="0"/>
          <c:showVal val="1"/>
          <c:showCatName val="0"/>
          <c:showSerName val="0"/>
          <c:showPercent val="1"/>
          <c:showBubbleSize val="0"/>
          <c:extLst>
            <c:ext xmlns:c15="http://schemas.microsoft.com/office/drawing/2012/chart" uri="{CE6537A1-D6FC-4f65-9D91-7224C49458BB}"/>
          </c:extLst>
        </c:dLbl>
      </c:pivotFmt>
      <c:pivotFmt>
        <c:idx val="2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0"/>
        <c:spPr>
          <a:solidFill>
            <a:schemeClr val="tx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5857103645948736"/>
              <c:y val="3.7063532220284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1"/>
        <c:spPr>
          <a:solidFill>
            <a:srgbClr val="FF33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0426099611730575"/>
              <c:y val="-1.38988245826066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2"/>
        <c:spPr>
          <a:solidFill>
            <a:srgbClr val="FFFF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663397051674947"/>
              <c:y val="-1.85317661101422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4"/>
        <c:spPr>
          <a:solidFill>
            <a:schemeClr val="tx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5857103645948736"/>
              <c:y val="3.7063532220284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5"/>
        <c:spPr>
          <a:solidFill>
            <a:srgbClr val="FFFF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663397051674947"/>
              <c:y val="-1.85317661101422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6"/>
        <c:spPr>
          <a:solidFill>
            <a:srgbClr val="FF33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0426099611730575"/>
              <c:y val="-1.38988245826066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8"/>
        <c:spPr>
          <a:solidFill>
            <a:schemeClr val="tx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5857103645948736"/>
              <c:y val="3.7063532220284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9"/>
        <c:spPr>
          <a:solidFill>
            <a:srgbClr val="FFFF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663397051674947"/>
              <c:y val="-1.85317661101422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0"/>
        <c:spPr>
          <a:solidFill>
            <a:srgbClr val="FF33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0426099611730575"/>
              <c:y val="-1.38988245826066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PIVOT!$E$3</c:f>
              <c:strCache>
                <c:ptCount val="1"/>
                <c:pt idx="0">
                  <c:v>Total</c:v>
                </c:pt>
              </c:strCache>
            </c:strRef>
          </c:tx>
          <c:dPt>
            <c:idx val="0"/>
            <c:bubble3D val="0"/>
            <c:spPr>
              <a:solidFill>
                <a:schemeClr val="tx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34D-4E4C-9143-758114016661}"/>
              </c:ext>
            </c:extLst>
          </c:dPt>
          <c:dPt>
            <c:idx val="1"/>
            <c:bubble3D val="0"/>
            <c:spPr>
              <a:solidFill>
                <a:srgbClr val="FFFF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34D-4E4C-9143-758114016661}"/>
              </c:ext>
            </c:extLst>
          </c:dPt>
          <c:dPt>
            <c:idx val="2"/>
            <c:bubble3D val="0"/>
            <c:spPr>
              <a:solidFill>
                <a:srgbClr val="FF33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534D-4E4C-9143-758114016661}"/>
              </c:ext>
            </c:extLst>
          </c:dPt>
          <c:dLbls>
            <c:dLbl>
              <c:idx val="0"/>
              <c:layout>
                <c:manualLayout>
                  <c:x val="0.15857103645948736"/>
                  <c:y val="3.7063532220284329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34D-4E4C-9143-758114016661}"/>
                </c:ext>
              </c:extLst>
            </c:dLbl>
            <c:dLbl>
              <c:idx val="1"/>
              <c:layout>
                <c:manualLayout>
                  <c:x val="-0.16663397051674947"/>
                  <c:y val="-1.8531766110142209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34D-4E4C-9143-758114016661}"/>
                </c:ext>
              </c:extLst>
            </c:dLbl>
            <c:dLbl>
              <c:idx val="2"/>
              <c:layout>
                <c:manualLayout>
                  <c:x val="0.20426099611730575"/>
                  <c:y val="-1.3898824582606625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34D-4E4C-9143-75811401666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tx1">
                      <a:alpha val="54000"/>
                    </a:schemeClr>
                  </a:solidFill>
                </a:ln>
                <a:effectLst/>
              </c:spPr>
            </c:leaderLines>
            <c:extLst>
              <c:ext xmlns:c15="http://schemas.microsoft.com/office/drawing/2012/chart" uri="{CE6537A1-D6FC-4f65-9D91-7224C49458BB}"/>
            </c:extLst>
          </c:dLbls>
          <c:cat>
            <c:strRef>
              <c:f>PIVOT!$D$4:$D$7</c:f>
              <c:strCache>
                <c:ptCount val="3"/>
                <c:pt idx="0">
                  <c:v>Electronics</c:v>
                </c:pt>
                <c:pt idx="1">
                  <c:v>Furniture</c:v>
                </c:pt>
                <c:pt idx="2">
                  <c:v>Stationery</c:v>
                </c:pt>
              </c:strCache>
            </c:strRef>
          </c:cat>
          <c:val>
            <c:numRef>
              <c:f>PIVOT!$E$4:$E$7</c:f>
              <c:numCache>
                <c:formatCode>General</c:formatCode>
                <c:ptCount val="3"/>
                <c:pt idx="0">
                  <c:v>30000</c:v>
                </c:pt>
                <c:pt idx="1">
                  <c:v>800</c:v>
                </c:pt>
                <c:pt idx="2">
                  <c:v>290</c:v>
                </c:pt>
              </c:numCache>
            </c:numRef>
          </c:val>
          <c:extLst>
            <c:ext xmlns:c16="http://schemas.microsoft.com/office/drawing/2014/chart" uri="{C3380CC4-5D6E-409C-BE32-E72D297353CC}">
              <c16:uniqueId val="{00000006-534D-4E4C-9143-75811401666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solidFill>
          <a:schemeClr val="accent3">
            <a:lumMod val="40000"/>
            <a:lumOff val="60000"/>
          </a:schemeClr>
        </a:solid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a:solidFill>
        <a:schemeClr val="tx1"/>
      </a:solidFill>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3">
  <a:schemeClr val="accent3"/>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withinLinearReversed" id="25">
  <a:schemeClr val="accent5"/>
</cs:colorStyle>
</file>

<file path=xl/charts/colors12.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6</xdr:col>
      <xdr:colOff>0</xdr:colOff>
      <xdr:row>1</xdr:row>
      <xdr:rowOff>59418</xdr:rowOff>
    </xdr:from>
    <xdr:to>
      <xdr:col>12</xdr:col>
      <xdr:colOff>116416</xdr:colOff>
      <xdr:row>16</xdr:row>
      <xdr:rowOff>0</xdr:rowOff>
    </xdr:to>
    <xdr:graphicFrame macro="">
      <xdr:nvGraphicFramePr>
        <xdr:cNvPr id="2" name="Chart 1">
          <a:extLst>
            <a:ext uri="{FF2B5EF4-FFF2-40B4-BE49-F238E27FC236}">
              <a16:creationId xmlns:a16="http://schemas.microsoft.com/office/drawing/2014/main" id="{AF2AA1EB-38DD-D088-0308-838686E24C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16</xdr:row>
      <xdr:rowOff>95704</xdr:rowOff>
    </xdr:from>
    <xdr:to>
      <xdr:col>12</xdr:col>
      <xdr:colOff>88446</xdr:colOff>
      <xdr:row>31</xdr:row>
      <xdr:rowOff>76654</xdr:rowOff>
    </xdr:to>
    <xdr:graphicFrame macro="">
      <xdr:nvGraphicFramePr>
        <xdr:cNvPr id="4" name="Chart 3">
          <a:extLst>
            <a:ext uri="{FF2B5EF4-FFF2-40B4-BE49-F238E27FC236}">
              <a16:creationId xmlns:a16="http://schemas.microsoft.com/office/drawing/2014/main" id="{B2B3E4E4-31ED-1F85-09A0-00686ADA1E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214540</xdr:colOff>
      <xdr:row>0</xdr:row>
      <xdr:rowOff>137583</xdr:rowOff>
    </xdr:from>
    <xdr:to>
      <xdr:col>27</xdr:col>
      <xdr:colOff>519340</xdr:colOff>
      <xdr:row>15</xdr:row>
      <xdr:rowOff>101902</xdr:rowOff>
    </xdr:to>
    <xdr:graphicFrame macro="">
      <xdr:nvGraphicFramePr>
        <xdr:cNvPr id="5" name="Chart 4">
          <a:extLst>
            <a:ext uri="{FF2B5EF4-FFF2-40B4-BE49-F238E27FC236}">
              <a16:creationId xmlns:a16="http://schemas.microsoft.com/office/drawing/2014/main" id="{5F7586C2-6A87-B19D-71FD-341CE7DD19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331106</xdr:colOff>
      <xdr:row>17</xdr:row>
      <xdr:rowOff>61686</xdr:rowOff>
    </xdr:from>
    <xdr:to>
      <xdr:col>20</xdr:col>
      <xdr:colOff>40821</xdr:colOff>
      <xdr:row>32</xdr:row>
      <xdr:rowOff>83458</xdr:rowOff>
    </xdr:to>
    <xdr:graphicFrame macro="">
      <xdr:nvGraphicFramePr>
        <xdr:cNvPr id="6" name="Chart 5">
          <a:extLst>
            <a:ext uri="{FF2B5EF4-FFF2-40B4-BE49-F238E27FC236}">
              <a16:creationId xmlns:a16="http://schemas.microsoft.com/office/drawing/2014/main" id="{CB83B179-7866-61A1-8A34-B16500BE72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285750</xdr:colOff>
      <xdr:row>0</xdr:row>
      <xdr:rowOff>143328</xdr:rowOff>
    </xdr:from>
    <xdr:to>
      <xdr:col>19</xdr:col>
      <xdr:colOff>603250</xdr:colOff>
      <xdr:row>15</xdr:row>
      <xdr:rowOff>146957</xdr:rowOff>
    </xdr:to>
    <xdr:graphicFrame macro="">
      <xdr:nvGraphicFramePr>
        <xdr:cNvPr id="8" name="Chart 7">
          <a:extLst>
            <a:ext uri="{FF2B5EF4-FFF2-40B4-BE49-F238E27FC236}">
              <a16:creationId xmlns:a16="http://schemas.microsoft.com/office/drawing/2014/main" id="{1FF9DEE0-A372-8B1C-DD56-6A72455709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285750</xdr:colOff>
      <xdr:row>17</xdr:row>
      <xdr:rowOff>127000</xdr:rowOff>
    </xdr:from>
    <xdr:to>
      <xdr:col>28</xdr:col>
      <xdr:colOff>137582</xdr:colOff>
      <xdr:row>32</xdr:row>
      <xdr:rowOff>80434</xdr:rowOff>
    </xdr:to>
    <xdr:graphicFrame macro="">
      <xdr:nvGraphicFramePr>
        <xdr:cNvPr id="12" name="Chart 11">
          <a:extLst>
            <a:ext uri="{FF2B5EF4-FFF2-40B4-BE49-F238E27FC236}">
              <a16:creationId xmlns:a16="http://schemas.microsoft.com/office/drawing/2014/main" id="{5157237A-FB4D-4047-A536-BFC05A5415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158002</xdr:rowOff>
    </xdr:from>
    <xdr:to>
      <xdr:col>28</xdr:col>
      <xdr:colOff>31591</xdr:colOff>
      <xdr:row>34</xdr:row>
      <xdr:rowOff>18677</xdr:rowOff>
    </xdr:to>
    <xdr:grpSp>
      <xdr:nvGrpSpPr>
        <xdr:cNvPr id="46" name="Group 45">
          <a:extLst>
            <a:ext uri="{FF2B5EF4-FFF2-40B4-BE49-F238E27FC236}">
              <a16:creationId xmlns:a16="http://schemas.microsoft.com/office/drawing/2014/main" id="{16FC84AB-4FF8-B388-9D29-2F7502111E42}"/>
            </a:ext>
          </a:extLst>
        </xdr:cNvPr>
        <xdr:cNvGrpSpPr/>
      </xdr:nvGrpSpPr>
      <xdr:grpSpPr>
        <a:xfrm>
          <a:off x="1" y="158002"/>
          <a:ext cx="17027178" cy="6210675"/>
          <a:chOff x="597648" y="120649"/>
          <a:chExt cx="17027179" cy="6210675"/>
        </a:xfrm>
      </xdr:grpSpPr>
      <xdr:sp macro="" textlink="">
        <xdr:nvSpPr>
          <xdr:cNvPr id="28" name="Rectangle 27">
            <a:extLst>
              <a:ext uri="{FF2B5EF4-FFF2-40B4-BE49-F238E27FC236}">
                <a16:creationId xmlns:a16="http://schemas.microsoft.com/office/drawing/2014/main" id="{470471D2-A6A6-DB4E-BCBA-859AA190DCD7}"/>
              </a:ext>
            </a:extLst>
          </xdr:cNvPr>
          <xdr:cNvSpPr/>
        </xdr:nvSpPr>
        <xdr:spPr>
          <a:xfrm>
            <a:off x="625662" y="120649"/>
            <a:ext cx="16995589" cy="663763"/>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IN" sz="1100"/>
              <a:t>                                                                                                                                                                                  </a:t>
            </a:r>
            <a:r>
              <a:rPr lang="en-IN" sz="2000" b="1" cap="none" spc="0">
                <a:ln w="0"/>
                <a:solidFill>
                  <a:schemeClr val="tx1"/>
                </a:solidFill>
                <a:effectLst>
                  <a:outerShdw blurRad="38100" dist="19050" dir="2700000" algn="tl" rotWithShape="0">
                    <a:schemeClr val="dk1">
                      <a:alpha val="40000"/>
                    </a:schemeClr>
                  </a:outerShdw>
                </a:effectLst>
              </a:rPr>
              <a:t>RETAIL SALES DASHBOARD FOR JAN 2026 </a:t>
            </a:r>
            <a:endParaRPr lang="en-IN" sz="2000" b="1"/>
          </a:p>
        </xdr:txBody>
      </xdr:sp>
      <xdr:graphicFrame macro="">
        <xdr:nvGraphicFramePr>
          <xdr:cNvPr id="29" name="Chart 28">
            <a:extLst>
              <a:ext uri="{FF2B5EF4-FFF2-40B4-BE49-F238E27FC236}">
                <a16:creationId xmlns:a16="http://schemas.microsoft.com/office/drawing/2014/main" id="{31F2FF22-BA34-4538-99B2-9337A03C0078}"/>
              </a:ext>
            </a:extLst>
          </xdr:cNvPr>
          <xdr:cNvGraphicFramePr>
            <a:graphicFrameLocks/>
          </xdr:cNvGraphicFramePr>
        </xdr:nvGraphicFramePr>
        <xdr:xfrm>
          <a:off x="2241176" y="924485"/>
          <a:ext cx="3903383" cy="275478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0" name="Chart 29">
            <a:extLst>
              <a:ext uri="{FF2B5EF4-FFF2-40B4-BE49-F238E27FC236}">
                <a16:creationId xmlns:a16="http://schemas.microsoft.com/office/drawing/2014/main" id="{DEC02660-41C4-4957-8072-50C251440D5E}"/>
              </a:ext>
            </a:extLst>
          </xdr:cNvPr>
          <xdr:cNvGraphicFramePr>
            <a:graphicFrameLocks/>
          </xdr:cNvGraphicFramePr>
        </xdr:nvGraphicFramePr>
        <xdr:xfrm>
          <a:off x="10953749" y="952501"/>
          <a:ext cx="4725147" cy="2680073"/>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31" name="Chart 30">
            <a:extLst>
              <a:ext uri="{FF2B5EF4-FFF2-40B4-BE49-F238E27FC236}">
                <a16:creationId xmlns:a16="http://schemas.microsoft.com/office/drawing/2014/main" id="{C15AA89D-998F-41B5-B797-452B4D309DBC}"/>
              </a:ext>
            </a:extLst>
          </xdr:cNvPr>
          <xdr:cNvGraphicFramePr>
            <a:graphicFrameLocks/>
          </xdr:cNvGraphicFramePr>
        </xdr:nvGraphicFramePr>
        <xdr:xfrm>
          <a:off x="6228603" y="943162"/>
          <a:ext cx="4687794" cy="2717426"/>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32" name="Chart 31">
            <a:extLst>
              <a:ext uri="{FF2B5EF4-FFF2-40B4-BE49-F238E27FC236}">
                <a16:creationId xmlns:a16="http://schemas.microsoft.com/office/drawing/2014/main" id="{3A704462-2279-4929-95A6-ED9863AAF2DF}"/>
              </a:ext>
            </a:extLst>
          </xdr:cNvPr>
          <xdr:cNvGraphicFramePr>
            <a:graphicFrameLocks/>
          </xdr:cNvGraphicFramePr>
        </xdr:nvGraphicFramePr>
        <xdr:xfrm>
          <a:off x="2231839" y="3742472"/>
          <a:ext cx="3922058" cy="2588852"/>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33" name="Chart 32">
            <a:extLst>
              <a:ext uri="{FF2B5EF4-FFF2-40B4-BE49-F238E27FC236}">
                <a16:creationId xmlns:a16="http://schemas.microsoft.com/office/drawing/2014/main" id="{9D0BE59B-44CA-4BAD-9412-B3E901D1F685}"/>
              </a:ext>
            </a:extLst>
          </xdr:cNvPr>
          <xdr:cNvGraphicFramePr>
            <a:graphicFrameLocks/>
          </xdr:cNvGraphicFramePr>
        </xdr:nvGraphicFramePr>
        <xdr:xfrm>
          <a:off x="6240181" y="3712562"/>
          <a:ext cx="4666878" cy="2609423"/>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34" name="Chart 33">
            <a:extLst>
              <a:ext uri="{FF2B5EF4-FFF2-40B4-BE49-F238E27FC236}">
                <a16:creationId xmlns:a16="http://schemas.microsoft.com/office/drawing/2014/main" id="{155DC9C6-0DFE-4C47-9C2C-F3356856AF1D}"/>
              </a:ext>
            </a:extLst>
          </xdr:cNvPr>
          <xdr:cNvGraphicFramePr>
            <a:graphicFrameLocks/>
          </xdr:cNvGraphicFramePr>
        </xdr:nvGraphicFramePr>
        <xdr:xfrm>
          <a:off x="10953749" y="3725956"/>
          <a:ext cx="4715810" cy="2605367"/>
        </xdr:xfrm>
        <a:graphic>
          <a:graphicData uri="http://schemas.openxmlformats.org/drawingml/2006/chart">
            <c:chart xmlns:c="http://schemas.openxmlformats.org/drawingml/2006/chart" xmlns:r="http://schemas.openxmlformats.org/officeDocument/2006/relationships" r:id="rId6"/>
          </a:graphicData>
        </a:graphic>
      </xdr:graphicFrame>
      <mc:AlternateContent xmlns:mc="http://schemas.openxmlformats.org/markup-compatibility/2006">
        <mc:Choice xmlns:a14="http://schemas.microsoft.com/office/drawing/2010/main" Requires="a14">
          <xdr:graphicFrame macro="">
            <xdr:nvGraphicFramePr>
              <xdr:cNvPr id="36" name="Category 2">
                <a:extLst>
                  <a:ext uri="{FF2B5EF4-FFF2-40B4-BE49-F238E27FC236}">
                    <a16:creationId xmlns:a16="http://schemas.microsoft.com/office/drawing/2014/main" id="{1D4439D1-4228-49DF-AA72-6A61829D4CC9}"/>
                  </a:ext>
                </a:extLst>
              </xdr:cNvPr>
              <xdr:cNvGraphicFramePr/>
            </xdr:nvGraphicFramePr>
            <xdr:xfrm>
              <a:off x="15800296" y="3799060"/>
              <a:ext cx="1820956" cy="2532264"/>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15202648" y="3836413"/>
                <a:ext cx="1820956" cy="25322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7" name="Salesperson 2">
                <a:extLst>
                  <a:ext uri="{FF2B5EF4-FFF2-40B4-BE49-F238E27FC236}">
                    <a16:creationId xmlns:a16="http://schemas.microsoft.com/office/drawing/2014/main" id="{3DC60830-1334-4510-9193-3A67445A3751}"/>
                  </a:ext>
                </a:extLst>
              </xdr:cNvPr>
              <xdr:cNvGraphicFramePr/>
            </xdr:nvGraphicFramePr>
            <xdr:xfrm>
              <a:off x="15809633" y="971176"/>
              <a:ext cx="1815194" cy="2698749"/>
            </xdr:xfrm>
            <a:graphic>
              <a:graphicData uri="http://schemas.microsoft.com/office/drawing/2010/slicer">
                <sle:slicer xmlns:sle="http://schemas.microsoft.com/office/drawing/2010/slicer" name="Salesperson 2"/>
              </a:graphicData>
            </a:graphic>
          </xdr:graphicFrame>
        </mc:Choice>
        <mc:Fallback>
          <xdr:sp macro="" textlink="">
            <xdr:nvSpPr>
              <xdr:cNvPr id="0" name=""/>
              <xdr:cNvSpPr>
                <a:spLocks noTextEdit="1"/>
              </xdr:cNvSpPr>
            </xdr:nvSpPr>
            <xdr:spPr>
              <a:xfrm>
                <a:off x="15211985" y="1008529"/>
                <a:ext cx="1815194" cy="2698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40" name="Rectangle 39">
            <a:extLst>
              <a:ext uri="{FF2B5EF4-FFF2-40B4-BE49-F238E27FC236}">
                <a16:creationId xmlns:a16="http://schemas.microsoft.com/office/drawing/2014/main" id="{46789C2D-9B80-989E-9197-572A88723217}"/>
              </a:ext>
            </a:extLst>
          </xdr:cNvPr>
          <xdr:cNvSpPr/>
        </xdr:nvSpPr>
        <xdr:spPr>
          <a:xfrm>
            <a:off x="653675" y="952500"/>
            <a:ext cx="1475443" cy="1092574"/>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IN" sz="1400" b="1"/>
              <a:t> TOTAL SALES</a:t>
            </a:r>
          </a:p>
          <a:p>
            <a:pPr algn="l"/>
            <a:endParaRPr lang="en-IN" sz="1400" b="1"/>
          </a:p>
          <a:p>
            <a:pPr algn="l"/>
            <a:r>
              <a:rPr lang="en-IN" sz="1600" b="1"/>
              <a:t>      </a:t>
            </a:r>
            <a:r>
              <a:rPr lang="en-IN" sz="1800" b="1"/>
              <a:t>93800</a:t>
            </a:r>
          </a:p>
        </xdr:txBody>
      </xdr:sp>
      <xdr:sp macro="" textlink="">
        <xdr:nvSpPr>
          <xdr:cNvPr id="41" name="Rectangle 40">
            <a:extLst>
              <a:ext uri="{FF2B5EF4-FFF2-40B4-BE49-F238E27FC236}">
                <a16:creationId xmlns:a16="http://schemas.microsoft.com/office/drawing/2014/main" id="{6E69C77B-6D27-4223-9655-103D78579EDB}"/>
              </a:ext>
            </a:extLst>
          </xdr:cNvPr>
          <xdr:cNvSpPr/>
        </xdr:nvSpPr>
        <xdr:spPr>
          <a:xfrm>
            <a:off x="606986" y="2381250"/>
            <a:ext cx="1522132" cy="1027206"/>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IN" sz="1400" b="1"/>
              <a:t>  TOTAL PROFIT</a:t>
            </a:r>
          </a:p>
          <a:p>
            <a:pPr algn="l"/>
            <a:endParaRPr lang="en-IN" sz="1400" b="1"/>
          </a:p>
          <a:p>
            <a:pPr algn="ctr"/>
            <a:r>
              <a:rPr lang="en-IN" sz="2000" b="1"/>
              <a:t>31090</a:t>
            </a:r>
          </a:p>
        </xdr:txBody>
      </xdr:sp>
      <xdr:sp macro="" textlink="">
        <xdr:nvSpPr>
          <xdr:cNvPr id="42" name="Rectangle 41">
            <a:extLst>
              <a:ext uri="{FF2B5EF4-FFF2-40B4-BE49-F238E27FC236}">
                <a16:creationId xmlns:a16="http://schemas.microsoft.com/office/drawing/2014/main" id="{951A09E6-47C8-4B7C-9051-FD873E9D650E}"/>
              </a:ext>
            </a:extLst>
          </xdr:cNvPr>
          <xdr:cNvSpPr/>
        </xdr:nvSpPr>
        <xdr:spPr>
          <a:xfrm>
            <a:off x="597648" y="3710265"/>
            <a:ext cx="1522131" cy="1108264"/>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IN" sz="1400" b="1"/>
              <a:t>TOTAL ORDERS</a:t>
            </a:r>
          </a:p>
          <a:p>
            <a:pPr algn="l"/>
            <a:r>
              <a:rPr lang="en-IN" sz="1800" b="1" baseline="0"/>
              <a:t>            </a:t>
            </a:r>
          </a:p>
          <a:p>
            <a:pPr algn="ctr"/>
            <a:r>
              <a:rPr lang="en-IN" sz="2000" b="1" baseline="0"/>
              <a:t>5</a:t>
            </a:r>
            <a:endParaRPr lang="en-IN" sz="2000" b="1"/>
          </a:p>
        </xdr:txBody>
      </xdr:sp>
      <xdr:sp macro="" textlink="">
        <xdr:nvSpPr>
          <xdr:cNvPr id="43" name="Rectangle 42">
            <a:extLst>
              <a:ext uri="{FF2B5EF4-FFF2-40B4-BE49-F238E27FC236}">
                <a16:creationId xmlns:a16="http://schemas.microsoft.com/office/drawing/2014/main" id="{D1AACFD3-55C4-4E7D-B481-388F856BD3E6}"/>
              </a:ext>
            </a:extLst>
          </xdr:cNvPr>
          <xdr:cNvSpPr/>
        </xdr:nvSpPr>
        <xdr:spPr>
          <a:xfrm>
            <a:off x="635001" y="5095315"/>
            <a:ext cx="1466102" cy="1236009"/>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en-IN" sz="1400" b="1"/>
              <a:t>AVG ORDER</a:t>
            </a:r>
          </a:p>
          <a:p>
            <a:pPr algn="ctr"/>
            <a:r>
              <a:rPr lang="en-IN" sz="1400" b="1"/>
              <a:t>VALUE</a:t>
            </a:r>
          </a:p>
          <a:p>
            <a:pPr algn="ctr"/>
            <a:endParaRPr lang="en-IN" sz="1400" b="1"/>
          </a:p>
          <a:p>
            <a:pPr algn="ctr"/>
            <a:r>
              <a:rPr lang="en-IN" sz="1800" b="1"/>
              <a:t>18760</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eetha praba" refreshedDate="46268.599408564813" createdVersion="8" refreshedVersion="8" minRefreshableVersion="3" recordCount="5" xr:uid="{BAC61720-204F-4356-9277-2C37A4D7833E}">
  <cacheSource type="worksheet">
    <worksheetSource name="Table4"/>
  </cacheSource>
  <cacheFields count="20">
    <cacheField name="Order ID" numFmtId="0">
      <sharedItems containsSemiMixedTypes="0" containsString="0" containsNumber="1" containsInteger="1" minValue="1001" maxValue="1005"/>
    </cacheField>
    <cacheField name="Date" numFmtId="15">
      <sharedItems containsSemiMixedTypes="0" containsNonDate="0" containsDate="1" containsString="0" minDate="2026-01-01T00:00:00" maxDate="2026-01-04T00:00:00"/>
    </cacheField>
    <cacheField name="Customer ID" numFmtId="0">
      <sharedItems/>
    </cacheField>
    <cacheField name="Product ID" numFmtId="0">
      <sharedItems/>
    </cacheField>
    <cacheField name="Salesperson ID" numFmtId="0">
      <sharedItems/>
    </cacheField>
    <cacheField name="Qty" numFmtId="0">
      <sharedItems containsSemiMixedTypes="0" containsString="0" containsNumber="1" containsInteger="1" minValue="1" maxValue="20"/>
    </cacheField>
    <cacheField name="Customer Name" numFmtId="0">
      <sharedItems/>
    </cacheField>
    <cacheField name="City" numFmtId="0">
      <sharedItems/>
    </cacheField>
    <cacheField name="State" numFmtId="0">
      <sharedItems count="3">
        <s v="Tamil Nadu"/>
        <s v="Kerala"/>
        <s v="Telangana"/>
      </sharedItems>
    </cacheField>
    <cacheField name="Product" numFmtId="0">
      <sharedItems count="5">
        <s v="Mobile"/>
        <s v="Chair"/>
        <s v="Laptop"/>
        <s v="Pen"/>
        <s v="Keyboard"/>
      </sharedItems>
    </cacheField>
    <cacheField name="Category" numFmtId="0">
      <sharedItems count="3">
        <s v="Electronics"/>
        <s v="Furniture"/>
        <s v="Stationery"/>
      </sharedItems>
    </cacheField>
    <cacheField name="Cost Price" numFmtId="0">
      <sharedItems containsSemiMixedTypes="0" containsString="0" containsNumber="1" containsInteger="1" minValue="10" maxValue="45000"/>
    </cacheField>
    <cacheField name="Selling Price" numFmtId="0">
      <sharedItems containsSemiMixedTypes="0" containsString="0" containsNumber="1" containsInteger="1" minValue="15" maxValue="52000"/>
    </cacheField>
    <cacheField name="Salesperson" numFmtId="0">
      <sharedItems count="5">
        <s v="Kumar"/>
        <s v="Ravi"/>
        <s v="Ajay"/>
        <s v="Nisha"/>
        <s v="Deepa"/>
      </sharedItems>
    </cacheField>
    <cacheField name="Sales" numFmtId="0">
      <sharedItems containsSemiMixedTypes="0" containsString="0" containsNumber="1" containsInteger="1" minValue="300" maxValue="52000"/>
    </cacheField>
    <cacheField name="Cost" numFmtId="0">
      <sharedItems containsSemiMixedTypes="0" containsString="0" containsNumber="1" containsInteger="1" minValue="200" maxValue="45000"/>
    </cacheField>
    <cacheField name="Profit" numFmtId="0">
      <sharedItems containsSemiMixedTypes="0" containsString="0" containsNumber="1" containsInteger="1" minValue="290" maxValue="21000"/>
    </cacheField>
    <cacheField name="Year" numFmtId="0">
      <sharedItems containsSemiMixedTypes="0" containsString="0" containsNumber="1" containsInteger="1" minValue="2026" maxValue="2026" count="1">
        <n v="2026"/>
      </sharedItems>
    </cacheField>
    <cacheField name="Month" numFmtId="0">
      <sharedItems count="1">
        <s v="Jan"/>
      </sharedItems>
    </cacheField>
    <cacheField name="Quarter" numFmtId="0">
      <sharedItems/>
    </cacheField>
  </cacheFields>
  <extLst>
    <ext xmlns:x14="http://schemas.microsoft.com/office/spreadsheetml/2009/9/main" uri="{725AE2AE-9491-48be-B2B4-4EB974FC3084}">
      <x14:pivotCacheDefinition pivotCacheId="3303349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n v="1001"/>
    <d v="2026-01-01T00:00:00"/>
    <s v="C001"/>
    <s v="P002"/>
    <s v="S001"/>
    <n v="2"/>
    <s v="Arun"/>
    <s v="Chennai"/>
    <x v="0"/>
    <x v="0"/>
    <x v="0"/>
    <n v="15000"/>
    <n v="18000"/>
    <x v="0"/>
    <n v="36000"/>
    <n v="30000"/>
    <n v="21000"/>
    <x v="0"/>
    <x v="0"/>
    <s v="Q1"/>
  </r>
  <r>
    <n v="1002"/>
    <d v="2026-01-01T00:00:00"/>
    <s v="C005"/>
    <s v="P004"/>
    <s v="S002"/>
    <n v="1"/>
    <s v="Kiran"/>
    <s v="Kochi"/>
    <x v="1"/>
    <x v="1"/>
    <x v="1"/>
    <n v="2000"/>
    <n v="2800"/>
    <x v="1"/>
    <n v="2800"/>
    <n v="2000"/>
    <n v="800"/>
    <x v="0"/>
    <x v="0"/>
    <s v="Q1"/>
  </r>
  <r>
    <n v="1003"/>
    <d v="2026-01-02T00:00:00"/>
    <s v="C003"/>
    <s v="P001"/>
    <s v="S003"/>
    <n v="1"/>
    <s v="Rahul"/>
    <s v="Hyderabad"/>
    <x v="2"/>
    <x v="2"/>
    <x v="0"/>
    <n v="45000"/>
    <n v="52000"/>
    <x v="2"/>
    <n v="52000"/>
    <n v="45000"/>
    <n v="7000"/>
    <x v="0"/>
    <x v="0"/>
    <s v="Q1"/>
  </r>
  <r>
    <n v="1004"/>
    <d v="2026-01-02T00:00:00"/>
    <s v="C004"/>
    <s v="P006"/>
    <s v="S005"/>
    <n v="20"/>
    <s v="Divya"/>
    <s v="Chennai"/>
    <x v="0"/>
    <x v="3"/>
    <x v="2"/>
    <n v="10"/>
    <n v="15"/>
    <x v="3"/>
    <n v="300"/>
    <n v="200"/>
    <n v="290"/>
    <x v="0"/>
    <x v="0"/>
    <s v="Q1"/>
  </r>
  <r>
    <n v="1005"/>
    <d v="2026-01-03T00:00:00"/>
    <s v="C007"/>
    <s v="P008"/>
    <s v="S004"/>
    <n v="3"/>
    <s v="Vignesh"/>
    <s v="Madurai"/>
    <x v="0"/>
    <x v="4"/>
    <x v="0"/>
    <n v="700"/>
    <n v="900"/>
    <x v="4"/>
    <n v="2700"/>
    <n v="2100"/>
    <n v="2000"/>
    <x v="0"/>
    <x v="0"/>
    <s v="Q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2F1567-6079-4C38-8909-518554C56C7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20:B26" firstHeaderRow="1" firstDataRow="1" firstDataCol="1"/>
  <pivotFields count="20">
    <pivotField showAll="0"/>
    <pivotField numFmtId="15" showAll="0"/>
    <pivotField showAll="0"/>
    <pivotField showAll="0"/>
    <pivotField showAll="0"/>
    <pivotField showAll="0"/>
    <pivotField showAll="0"/>
    <pivotField showAll="0"/>
    <pivotField showAll="0">
      <items count="4">
        <item x="1"/>
        <item x="0"/>
        <item x="2"/>
        <item t="default"/>
      </items>
    </pivotField>
    <pivotField axis="axisRow" showAll="0" sortType="descending">
      <items count="6">
        <item x="1"/>
        <item x="4"/>
        <item x="2"/>
        <item x="0"/>
        <item x="3"/>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items count="6">
        <item x="2"/>
        <item x="4"/>
        <item x="0"/>
        <item x="3"/>
        <item x="1"/>
        <item t="default"/>
      </items>
    </pivotField>
    <pivotField dataField="1" showAll="0"/>
    <pivotField showAll="0"/>
    <pivotField showAll="0"/>
    <pivotField showAll="0"/>
    <pivotField showAll="0">
      <items count="2">
        <item x="0"/>
        <item t="default"/>
      </items>
    </pivotField>
    <pivotField showAll="0"/>
  </pivotFields>
  <rowFields count="1">
    <field x="9"/>
  </rowFields>
  <rowItems count="6">
    <i>
      <x v="2"/>
    </i>
    <i>
      <x v="3"/>
    </i>
    <i>
      <x/>
    </i>
    <i>
      <x v="1"/>
    </i>
    <i>
      <x v="4"/>
    </i>
    <i t="grand">
      <x/>
    </i>
  </rowItems>
  <colItems count="1">
    <i/>
  </colItems>
  <dataFields count="1">
    <dataField name="Sum of Sales" fld="14" baseField="0" baseItem="0"/>
  </dataFields>
  <chartFormats count="6">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4" format="3"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885EEA-B89A-4D43-A346-2462DB4CE1E0}"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2">
  <location ref="D3:E7" firstHeaderRow="1" firstDataRow="1" firstDataCol="1"/>
  <pivotFields count="20">
    <pivotField showAll="0"/>
    <pivotField numFmtId="15" showAll="0"/>
    <pivotField showAll="0"/>
    <pivotField showAll="0"/>
    <pivotField showAll="0"/>
    <pivotField showAll="0"/>
    <pivotField showAll="0"/>
    <pivotField showAll="0"/>
    <pivotField showAll="0">
      <items count="4">
        <item x="1"/>
        <item x="0"/>
        <item x="2"/>
        <item t="default"/>
      </items>
    </pivotField>
    <pivotField showAll="0"/>
    <pivotField axis="axisRow" showAll="0">
      <items count="4">
        <item x="0"/>
        <item x="1"/>
        <item x="2"/>
        <item t="default"/>
      </items>
    </pivotField>
    <pivotField showAll="0"/>
    <pivotField showAll="0"/>
    <pivotField showAll="0">
      <items count="6">
        <item x="2"/>
        <item x="4"/>
        <item x="0"/>
        <item x="3"/>
        <item x="1"/>
        <item t="default"/>
      </items>
    </pivotField>
    <pivotField showAll="0"/>
    <pivotField showAll="0"/>
    <pivotField dataField="1" showAll="0"/>
    <pivotField showAll="0"/>
    <pivotField showAll="0">
      <items count="2">
        <item x="0"/>
        <item t="default"/>
      </items>
    </pivotField>
    <pivotField showAll="0"/>
  </pivotFields>
  <rowFields count="1">
    <field x="10"/>
  </rowFields>
  <rowItems count="4">
    <i>
      <x/>
    </i>
    <i>
      <x v="1"/>
    </i>
    <i>
      <x v="2"/>
    </i>
    <i t="grand">
      <x/>
    </i>
  </rowItems>
  <colItems count="1">
    <i/>
  </colItems>
  <dataFields count="1">
    <dataField name="Sum of Profit" fld="16" baseField="0" baseItem="0"/>
  </dataFields>
  <chartFormats count="20">
    <chartFormat chart="60" format="29"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60" format="30">
      <pivotArea type="data" outline="0" fieldPosition="0">
        <references count="2">
          <reference field="4294967294" count="1" selected="0">
            <x v="0"/>
          </reference>
          <reference field="10" count="1" selected="0">
            <x v="0"/>
          </reference>
        </references>
      </pivotArea>
    </chartFormat>
    <chartFormat chart="60" format="31">
      <pivotArea type="data" outline="0" fieldPosition="0">
        <references count="2">
          <reference field="4294967294" count="1" selected="0">
            <x v="0"/>
          </reference>
          <reference field="10" count="1" selected="0">
            <x v="2"/>
          </reference>
        </references>
      </pivotArea>
    </chartFormat>
    <chartFormat chart="60" format="32">
      <pivotArea type="data" outline="0" fieldPosition="0">
        <references count="2">
          <reference field="4294967294" count="1" selected="0">
            <x v="0"/>
          </reference>
          <reference field="10" count="1" selected="0">
            <x v="1"/>
          </reference>
        </references>
      </pivotArea>
    </chartFormat>
    <chartFormat chart="103" format="6" series="1">
      <pivotArea type="data" outline="0" fieldPosition="0">
        <references count="1">
          <reference field="4294967294" count="1" selected="0">
            <x v="0"/>
          </reference>
        </references>
      </pivotArea>
    </chartFormat>
    <chartFormat chart="115" format="37" series="1">
      <pivotArea type="data" outline="0" fieldPosition="0">
        <references count="1">
          <reference field="4294967294" count="1" selected="0">
            <x v="0"/>
          </reference>
        </references>
      </pivotArea>
    </chartFormat>
    <chartFormat chart="115" format="38">
      <pivotArea type="data" outline="0" fieldPosition="0">
        <references count="2">
          <reference field="4294967294" count="1" selected="0">
            <x v="0"/>
          </reference>
          <reference field="10" count="1" selected="0">
            <x v="0"/>
          </reference>
        </references>
      </pivotArea>
    </chartFormat>
    <chartFormat chart="115" format="39">
      <pivotArea type="data" outline="0" fieldPosition="0">
        <references count="2">
          <reference field="4294967294" count="1" selected="0">
            <x v="0"/>
          </reference>
          <reference field="10" count="1" selected="0">
            <x v="1"/>
          </reference>
        </references>
      </pivotArea>
    </chartFormat>
    <chartFormat chart="115" format="40">
      <pivotArea type="data" outline="0" fieldPosition="0">
        <references count="2">
          <reference field="4294967294" count="1" selected="0">
            <x v="0"/>
          </reference>
          <reference field="10" count="1" selected="0">
            <x v="2"/>
          </reference>
        </references>
      </pivotArea>
    </chartFormat>
    <chartFormat chart="128" format="7" series="1">
      <pivotArea type="data" outline="0" fieldPosition="0">
        <references count="1">
          <reference field="4294967294" count="1" selected="0">
            <x v="0"/>
          </reference>
        </references>
      </pivotArea>
    </chartFormat>
    <chartFormat chart="129" format="41" series="1">
      <pivotArea type="data" outline="0" fieldPosition="0">
        <references count="1">
          <reference field="4294967294" count="1" selected="0">
            <x v="0"/>
          </reference>
        </references>
      </pivotArea>
    </chartFormat>
    <chartFormat chart="129" format="42">
      <pivotArea type="data" outline="0" fieldPosition="0">
        <references count="2">
          <reference field="4294967294" count="1" selected="0">
            <x v="0"/>
          </reference>
          <reference field="10" count="1" selected="0">
            <x v="0"/>
          </reference>
        </references>
      </pivotArea>
    </chartFormat>
    <chartFormat chart="129" format="43">
      <pivotArea type="data" outline="0" fieldPosition="0">
        <references count="2">
          <reference field="4294967294" count="1" selected="0">
            <x v="0"/>
          </reference>
          <reference field="10" count="1" selected="0">
            <x v="1"/>
          </reference>
        </references>
      </pivotArea>
    </chartFormat>
    <chartFormat chart="129" format="44">
      <pivotArea type="data" outline="0" fieldPosition="0">
        <references count="2">
          <reference field="4294967294" count="1" selected="0">
            <x v="0"/>
          </reference>
          <reference field="10" count="1" selected="0">
            <x v="2"/>
          </reference>
        </references>
      </pivotArea>
    </chartFormat>
    <chartFormat chart="130" format="8" series="1">
      <pivotArea type="data" outline="0" fieldPosition="0">
        <references count="1">
          <reference field="4294967294" count="1" selected="0">
            <x v="0"/>
          </reference>
        </references>
      </pivotArea>
    </chartFormat>
    <chartFormat chart="131" format="45" series="1">
      <pivotArea type="data" outline="0" fieldPosition="0">
        <references count="1">
          <reference field="4294967294" count="1" selected="0">
            <x v="0"/>
          </reference>
        </references>
      </pivotArea>
    </chartFormat>
    <chartFormat chart="131" format="46">
      <pivotArea type="data" outline="0" fieldPosition="0">
        <references count="2">
          <reference field="4294967294" count="1" selected="0">
            <x v="0"/>
          </reference>
          <reference field="10" count="1" selected="0">
            <x v="0"/>
          </reference>
        </references>
      </pivotArea>
    </chartFormat>
    <chartFormat chart="131" format="47">
      <pivotArea type="data" outline="0" fieldPosition="0">
        <references count="2">
          <reference field="4294967294" count="1" selected="0">
            <x v="0"/>
          </reference>
          <reference field="10" count="1" selected="0">
            <x v="1"/>
          </reference>
        </references>
      </pivotArea>
    </chartFormat>
    <chartFormat chart="131" format="4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903D4F-D324-4053-8B44-C365B167100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B5" firstHeaderRow="1" firstDataRow="1" firstDataCol="1"/>
  <pivotFields count="20">
    <pivotField showAll="0"/>
    <pivotField numFmtId="15" showAll="0"/>
    <pivotField showAll="0"/>
    <pivotField showAll="0"/>
    <pivotField showAll="0"/>
    <pivotField showAll="0"/>
    <pivotField showAll="0"/>
    <pivotField showAll="0"/>
    <pivotField showAll="0">
      <items count="4">
        <item x="1"/>
        <item x="0"/>
        <item x="2"/>
        <item t="default"/>
      </items>
    </pivotField>
    <pivotField showAll="0"/>
    <pivotField showAll="0">
      <items count="4">
        <item x="0"/>
        <item x="1"/>
        <item x="2"/>
        <item t="default"/>
      </items>
    </pivotField>
    <pivotField showAll="0"/>
    <pivotField showAll="0"/>
    <pivotField showAll="0">
      <items count="6">
        <item x="2"/>
        <item x="4"/>
        <item x="0"/>
        <item x="3"/>
        <item x="1"/>
        <item t="default"/>
      </items>
    </pivotField>
    <pivotField dataField="1" showAll="0"/>
    <pivotField showAll="0"/>
    <pivotField showAll="0"/>
    <pivotField showAll="0"/>
    <pivotField axis="axisRow" showAll="0">
      <items count="2">
        <item x="0"/>
        <item t="default"/>
      </items>
    </pivotField>
    <pivotField showAll="0"/>
  </pivotFields>
  <rowFields count="1">
    <field x="18"/>
  </rowFields>
  <rowItems count="2">
    <i>
      <x/>
    </i>
    <i t="grand">
      <x/>
    </i>
  </rowItems>
  <colItems count="1">
    <i/>
  </colItems>
  <dataFields count="1">
    <dataField name="Sum of Sales" fld="14" baseField="0" baseItem="0"/>
  </dataFields>
  <chartFormats count="4">
    <chartFormat chart="0" format="0"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0"/>
          </reference>
        </references>
      </pivotArea>
    </chartFormat>
    <chartFormat chart="2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73FB5F-4A4D-4B55-9759-D273061059B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1:E25" firstHeaderRow="1" firstDataRow="1" firstDataCol="1"/>
  <pivotFields count="20">
    <pivotField showAll="0"/>
    <pivotField numFmtId="15"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dataField="1" showAll="0"/>
    <pivotField showAll="0"/>
    <pivotField showAll="0"/>
    <pivotField showAll="0"/>
  </pivotFields>
  <rowFields count="1">
    <field x="10"/>
  </rowFields>
  <rowItems count="4">
    <i>
      <x/>
    </i>
    <i>
      <x v="1"/>
    </i>
    <i>
      <x v="2"/>
    </i>
    <i t="grand">
      <x/>
    </i>
  </rowItems>
  <colItems count="1">
    <i/>
  </colItems>
  <dataFields count="1">
    <dataField name="Sum of Profit"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70FED5-825E-4BBE-9219-FBAC4259BB52}"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5">
  <location ref="D11:E17" firstHeaderRow="1" firstDataRow="1" firstDataCol="1"/>
  <pivotFields count="20">
    <pivotField showAll="0"/>
    <pivotField numFmtId="15" showAll="0"/>
    <pivotField showAll="0"/>
    <pivotField showAll="0"/>
    <pivotField showAll="0"/>
    <pivotField showAll="0"/>
    <pivotField showAll="0"/>
    <pivotField showAll="0"/>
    <pivotField showAll="0">
      <items count="4">
        <item x="1"/>
        <item x="0"/>
        <item x="2"/>
        <item t="default"/>
      </items>
    </pivotField>
    <pivotField showAll="0"/>
    <pivotField showAll="0">
      <items count="4">
        <item x="0"/>
        <item x="1"/>
        <item x="2"/>
        <item t="default"/>
      </items>
    </pivotField>
    <pivotField showAll="0"/>
    <pivotField showAll="0"/>
    <pivotField axis="axisRow" showAll="0">
      <items count="6">
        <item x="2"/>
        <item x="4"/>
        <item x="0"/>
        <item x="3"/>
        <item x="1"/>
        <item t="default"/>
      </items>
    </pivotField>
    <pivotField dataField="1" showAll="0"/>
    <pivotField showAll="0"/>
    <pivotField showAll="0"/>
    <pivotField showAll="0">
      <items count="2">
        <item x="0"/>
        <item t="default"/>
      </items>
    </pivotField>
    <pivotField showAll="0">
      <items count="2">
        <item x="0"/>
        <item t="default"/>
      </items>
    </pivotField>
    <pivotField showAll="0"/>
  </pivotFields>
  <rowFields count="1">
    <field x="13"/>
  </rowFields>
  <rowItems count="6">
    <i>
      <x/>
    </i>
    <i>
      <x v="1"/>
    </i>
    <i>
      <x v="2"/>
    </i>
    <i>
      <x v="3"/>
    </i>
    <i>
      <x v="4"/>
    </i>
    <i t="grand">
      <x/>
    </i>
  </rowItems>
  <colItems count="1">
    <i/>
  </colItems>
  <dataFields count="1">
    <dataField name="Sum of Sales" fld="14" baseField="0" baseItem="0"/>
  </dataFields>
  <chartFormats count="4">
    <chartFormat chart="0"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FF0D0AF-0DA5-4A74-9C4A-06553B15F3A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11:B15" firstHeaderRow="1" firstDataRow="1" firstDataCol="1"/>
  <pivotFields count="20">
    <pivotField showAll="0"/>
    <pivotField numFmtId="15" showAll="0"/>
    <pivotField showAll="0"/>
    <pivotField showAll="0"/>
    <pivotField showAll="0"/>
    <pivotField showAll="0"/>
    <pivotField showAll="0"/>
    <pivotField showAll="0"/>
    <pivotField axis="axisRow" showAll="0">
      <items count="4">
        <item x="1"/>
        <item x="0"/>
        <item x="2"/>
        <item t="default"/>
      </items>
    </pivotField>
    <pivotField showAll="0"/>
    <pivotField showAll="0">
      <items count="4">
        <item x="0"/>
        <item x="1"/>
        <item x="2"/>
        <item t="default"/>
      </items>
    </pivotField>
    <pivotField showAll="0"/>
    <pivotField showAll="0"/>
    <pivotField showAll="0">
      <items count="6">
        <item x="2"/>
        <item x="4"/>
        <item x="0"/>
        <item x="3"/>
        <item x="1"/>
        <item t="default"/>
      </items>
    </pivotField>
    <pivotField dataField="1" showAll="0"/>
    <pivotField showAll="0"/>
    <pivotField showAll="0"/>
    <pivotField showAll="0"/>
    <pivotField showAll="0">
      <items count="2">
        <item x="0"/>
        <item t="default"/>
      </items>
    </pivotField>
    <pivotField showAll="0"/>
  </pivotFields>
  <rowFields count="1">
    <field x="8"/>
  </rowFields>
  <rowItems count="4">
    <i>
      <x/>
    </i>
    <i>
      <x v="1"/>
    </i>
    <i>
      <x v="2"/>
    </i>
    <i t="grand">
      <x/>
    </i>
  </rowItems>
  <colItems count="1">
    <i/>
  </colItems>
  <dataFields count="1">
    <dataField name="Sum of Sales" fld="14" baseField="0" baseItem="0"/>
  </dataFields>
  <chartFormats count="2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10" format="9" series="1">
      <pivotArea type="data" outline="0" fieldPosition="0">
        <references count="1">
          <reference field="4294967294" count="1" selected="0">
            <x v="0"/>
          </reference>
        </references>
      </pivotArea>
    </chartFormat>
    <chartFormat chart="10" format="10">
      <pivotArea type="data" outline="0" fieldPosition="0">
        <references count="2">
          <reference field="4294967294" count="1" selected="0">
            <x v="0"/>
          </reference>
          <reference field="8" count="1" selected="0">
            <x v="0"/>
          </reference>
        </references>
      </pivotArea>
    </chartFormat>
    <chartFormat chart="10" format="11">
      <pivotArea type="data" outline="0" fieldPosition="0">
        <references count="2">
          <reference field="4294967294" count="1" selected="0">
            <x v="0"/>
          </reference>
          <reference field="8" count="1" selected="0">
            <x v="1"/>
          </reference>
        </references>
      </pivotArea>
    </chartFormat>
    <chartFormat chart="10" format="12">
      <pivotArea type="data" outline="0" fieldPosition="0">
        <references count="2">
          <reference field="4294967294" count="1" selected="0">
            <x v="0"/>
          </reference>
          <reference field="8" count="1" selected="0">
            <x v="2"/>
          </reference>
        </references>
      </pivotArea>
    </chartFormat>
    <chartFormat chart="11" format="13" series="1">
      <pivotArea type="data" outline="0" fieldPosition="0">
        <references count="1">
          <reference field="4294967294" count="1" selected="0">
            <x v="0"/>
          </reference>
        </references>
      </pivotArea>
    </chartFormat>
    <chartFormat chart="11" format="14">
      <pivotArea type="data" outline="0" fieldPosition="0">
        <references count="2">
          <reference field="4294967294" count="1" selected="0">
            <x v="0"/>
          </reference>
          <reference field="8" count="1" selected="0">
            <x v="0"/>
          </reference>
        </references>
      </pivotArea>
    </chartFormat>
    <chartFormat chart="11" format="15">
      <pivotArea type="data" outline="0" fieldPosition="0">
        <references count="2">
          <reference field="4294967294" count="1" selected="0">
            <x v="0"/>
          </reference>
          <reference field="8" count="1" selected="0">
            <x v="1"/>
          </reference>
        </references>
      </pivotArea>
    </chartFormat>
    <chartFormat chart="11" format="16">
      <pivotArea type="data" outline="0" fieldPosition="0">
        <references count="2">
          <reference field="4294967294" count="1" selected="0">
            <x v="0"/>
          </reference>
          <reference field="8" count="1" selected="0">
            <x v="2"/>
          </reference>
        </references>
      </pivotArea>
    </chartFormat>
    <chartFormat chart="16" format="8" series="1">
      <pivotArea type="data" outline="0" fieldPosition="0">
        <references count="1">
          <reference field="4294967294" count="1" selected="0">
            <x v="0"/>
          </reference>
        </references>
      </pivotArea>
    </chartFormat>
    <chartFormat chart="16" format="9">
      <pivotArea type="data" outline="0" fieldPosition="0">
        <references count="2">
          <reference field="4294967294" count="1" selected="0">
            <x v="0"/>
          </reference>
          <reference field="8" count="1" selected="0">
            <x v="0"/>
          </reference>
        </references>
      </pivotArea>
    </chartFormat>
    <chartFormat chart="16" format="10">
      <pivotArea type="data" outline="0" fieldPosition="0">
        <references count="2">
          <reference field="4294967294" count="1" selected="0">
            <x v="0"/>
          </reference>
          <reference field="8" count="1" selected="0">
            <x v="1"/>
          </reference>
        </references>
      </pivotArea>
    </chartFormat>
    <chartFormat chart="16" format="11">
      <pivotArea type="data" outline="0" fieldPosition="0">
        <references count="2">
          <reference field="4294967294" count="1" selected="0">
            <x v="0"/>
          </reference>
          <reference field="8" count="1" selected="0">
            <x v="2"/>
          </reference>
        </references>
      </pivotArea>
    </chartFormat>
    <chartFormat chart="29" format="12" series="1">
      <pivotArea type="data" outline="0" fieldPosition="0">
        <references count="1">
          <reference field="4294967294" count="1" selected="0">
            <x v="0"/>
          </reference>
        </references>
      </pivotArea>
    </chartFormat>
    <chartFormat chart="29" format="13">
      <pivotArea type="data" outline="0" fieldPosition="0">
        <references count="2">
          <reference field="4294967294" count="1" selected="0">
            <x v="0"/>
          </reference>
          <reference field="8" count="1" selected="0">
            <x v="0"/>
          </reference>
        </references>
      </pivotArea>
    </chartFormat>
    <chartFormat chart="29" format="14">
      <pivotArea type="data" outline="0" fieldPosition="0">
        <references count="2">
          <reference field="4294967294" count="1" selected="0">
            <x v="0"/>
          </reference>
          <reference field="8" count="1" selected="0">
            <x v="1"/>
          </reference>
        </references>
      </pivotArea>
    </chartFormat>
    <chartFormat chart="29" format="15">
      <pivotArea type="data" outline="0" fieldPosition="0">
        <references count="2">
          <reference field="4294967294" count="1" selected="0">
            <x v="0"/>
          </reference>
          <reference field="8" count="1" selected="0">
            <x v="2"/>
          </reference>
        </references>
      </pivotArea>
    </chartFormat>
    <chartFormat chart="30" format="16" series="1">
      <pivotArea type="data" outline="0" fieldPosition="0">
        <references count="1">
          <reference field="4294967294" count="1" selected="0">
            <x v="0"/>
          </reference>
        </references>
      </pivotArea>
    </chartFormat>
    <chartFormat chart="30" format="17">
      <pivotArea type="data" outline="0" fieldPosition="0">
        <references count="2">
          <reference field="4294967294" count="1" selected="0">
            <x v="0"/>
          </reference>
          <reference field="8" count="1" selected="0">
            <x v="0"/>
          </reference>
        </references>
      </pivotArea>
    </chartFormat>
    <chartFormat chart="30" format="18">
      <pivotArea type="data" outline="0" fieldPosition="0">
        <references count="2">
          <reference field="4294967294" count="1" selected="0">
            <x v="0"/>
          </reference>
          <reference field="8" count="1" selected="0">
            <x v="1"/>
          </reference>
        </references>
      </pivotArea>
    </chartFormat>
    <chartFormat chart="30" format="19">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B26AE13-8B58-48C5-8F62-0F5E0B7056C5}" sourceName="Category">
  <pivotTables>
    <pivotTable tabId="6" name="PivotTable1"/>
    <pivotTable tabId="6" name="PivotTable2"/>
    <pivotTable tabId="6" name="PivotTable3"/>
    <pivotTable tabId="6" name="PivotTable4"/>
    <pivotTable tabId="6" name="PivotTable6"/>
  </pivotTables>
  <data>
    <tabular pivotCacheId="330334965">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EC330BCA-1F7A-4434-B0F5-153607367525}" sourceName="Salesperson">
  <pivotTables>
    <pivotTable tabId="6" name="PivotTable1"/>
    <pivotTable tabId="6" name="PivotTable2"/>
    <pivotTable tabId="6" name="PivotTable3"/>
    <pivotTable tabId="6" name="PivotTable4"/>
    <pivotTable tabId="6" name="PivotTable6"/>
  </pivotTables>
  <data>
    <tabular pivotCacheId="330334965">
      <items count="5">
        <i x="2" s="1"/>
        <i x="4"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A97035C3-2445-4792-9010-96600B3D3DD8}" cache="Slicer_Category" caption="Category" rowHeight="241300"/>
  <slicer name="Salesperson 2" xr10:uid="{FA80C59E-CD59-4561-9476-B82CC00C97C2}" cache="Slicer_Salesperson" caption="Salespers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1A815A-C6AE-4D56-B3DB-4A775715CCAA}" name="Table1" displayName="Table1" ref="A1:D11" totalsRowShown="0" headerRowDxfId="50" dataDxfId="48" headerRowBorderDxfId="49" tableBorderDxfId="47" totalsRowBorderDxfId="46">
  <autoFilter ref="A1:D11" xr:uid="{7E1A815A-C6AE-4D56-B3DB-4A775715CCAA}"/>
  <tableColumns count="4">
    <tableColumn id="1" xr3:uid="{F514114C-4DE9-4FF2-9FC6-CD136D422E9A}" name="Customer ID" dataDxfId="45"/>
    <tableColumn id="2" xr3:uid="{8A79EC90-92B6-47FA-97FC-793A6341FF28}" name="Customer Name" dataDxfId="44"/>
    <tableColumn id="3" xr3:uid="{747870F1-B3D7-4F42-A385-CF40CF83F822}" name="City" dataDxfId="43"/>
    <tableColumn id="4" xr3:uid="{3E482D9D-8E9B-4B19-A9ED-1D423EF8AB11}" name="State" dataDxfId="4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5127AC8-E929-4135-ADE0-BE135405A9D6}" name="Table2" displayName="Table2" ref="A1:E11" totalsRowShown="0" headerRowDxfId="41" dataDxfId="39" headerRowBorderDxfId="40" tableBorderDxfId="38" totalsRowBorderDxfId="37">
  <autoFilter ref="A1:E11" xr:uid="{05127AC8-E929-4135-ADE0-BE135405A9D6}"/>
  <tableColumns count="5">
    <tableColumn id="1" xr3:uid="{FBB445D2-CA77-4D09-ACCF-6F1B27491E29}" name="Product ID" dataDxfId="36"/>
    <tableColumn id="2" xr3:uid="{14789B83-430F-4B20-BD47-C29997CBA4F1}" name="Product" dataDxfId="35"/>
    <tableColumn id="3" xr3:uid="{CDCA63D4-FF3C-4F3A-A218-85E624938F68}" name="Category" dataDxfId="34"/>
    <tableColumn id="4" xr3:uid="{9D01FA76-6F42-4FC9-AAEB-CB587ED8E205}" name="Cost Price" dataDxfId="33"/>
    <tableColumn id="5" xr3:uid="{89B7AD61-40E0-449F-A625-BA9A7B7A5430}" name="Selling Price" dataDxfId="3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45F56B2-A2A1-44FA-9C47-E98725855DA8}" name="Table3" displayName="Table3" ref="A1:B6" totalsRowShown="0" headerRowDxfId="31" dataDxfId="29" headerRowBorderDxfId="30" tableBorderDxfId="28" totalsRowBorderDxfId="27">
  <autoFilter ref="A1:B6" xr:uid="{045F56B2-A2A1-44FA-9C47-E98725855DA8}"/>
  <tableColumns count="2">
    <tableColumn id="1" xr3:uid="{29F545E6-4E9B-4CCF-B8F7-79C03B572D90}" name="Salesperson ID" dataDxfId="26"/>
    <tableColumn id="2" xr3:uid="{A44F4AA1-9EFB-4964-A50D-8B98C1DE5BD2}" name="Salesperson" dataDxfId="2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276DBAF-B98E-49B9-8803-7B82426214A4}" name="Table4" displayName="Table4" ref="A1:T6" totalsRowShown="0" headerRowDxfId="24" dataDxfId="22" headerRowBorderDxfId="23" tableBorderDxfId="21" totalsRowBorderDxfId="20">
  <autoFilter ref="A1:T6" xr:uid="{C276DBAF-B98E-49B9-8803-7B82426214A4}"/>
  <tableColumns count="20">
    <tableColumn id="1" xr3:uid="{DC28F07A-C7A7-4E90-BAE6-EF6B3F9F9998}" name="Order ID" dataDxfId="19"/>
    <tableColumn id="2" xr3:uid="{D5FBA06B-3266-48BB-A4D1-C63B29D9E1B7}" name="Date" dataDxfId="18"/>
    <tableColumn id="3" xr3:uid="{CA839802-C40C-47E4-B114-7E1CA368F38E}" name="Customer ID" dataDxfId="17"/>
    <tableColumn id="4" xr3:uid="{9A10B469-C3A6-4808-97C9-975D3101713A}" name="Product ID" dataDxfId="16"/>
    <tableColumn id="5" xr3:uid="{24C5BF4A-6F1A-4B0B-ABD2-59B7F7A0835F}" name="Salesperson ID" dataDxfId="15"/>
    <tableColumn id="6" xr3:uid="{43044E39-30EA-4055-9B6C-5BE866B08E7E}" name="Qty" dataDxfId="14"/>
    <tableColumn id="7" xr3:uid="{3FF26A4A-3AC5-40B6-8AB5-35977D3E1FC2}" name="Customer Name" dataDxfId="13">
      <calculatedColumnFormula>VLOOKUP(Table4[[#This Row],[Customer ID]],Table1[],2,FALSE)</calculatedColumnFormula>
    </tableColumn>
    <tableColumn id="8" xr3:uid="{A49018A0-487E-43E1-ACA5-AE91B4F64517}" name="City" dataDxfId="12">
      <calculatedColumnFormula>_xlfn.XLOOKUP(Table4[[#This Row],[Customer Name]],Table1[Customer Name],Table1[City])</calculatedColumnFormula>
    </tableColumn>
    <tableColumn id="9" xr3:uid="{6D58AA5F-FBB9-441C-B608-916E67493C62}" name="State" dataDxfId="11">
      <calculatedColumnFormula>VLOOKUP(Table4[[#This Row],[Customer ID]],Table1[],4,FALSE)</calculatedColumnFormula>
    </tableColumn>
    <tableColumn id="11" xr3:uid="{92D1B660-9DFC-4FFF-870E-5D679E2DC774}" name="Product" dataDxfId="10">
      <calculatedColumnFormula>_xlfn.XLOOKUP(Table4[[#This Row],[Product ID]],Table2[Product ID],Table2[Product])</calculatedColumnFormula>
    </tableColumn>
    <tableColumn id="12" xr3:uid="{21CB33A6-EFF0-4035-9C5E-B5D54D4A11BF}" name="Category" dataDxfId="9">
      <calculatedColumnFormula>_xlfn.XLOOKUP(Table4[[#This Row],[Product ID]],Table2[Product ID],Table2[Category])</calculatedColumnFormula>
    </tableColumn>
    <tableColumn id="13" xr3:uid="{5F985923-17B0-4F87-AC5C-037F01A9E9A7}" name="Cost Price" dataDxfId="8">
      <calculatedColumnFormula>_xlfn.XLOOKUP(Table4[[#This Row],[Product ID]],Table2[Product ID],Table2[Cost Price])</calculatedColumnFormula>
    </tableColumn>
    <tableColumn id="14" xr3:uid="{C14AB90F-AC9B-4E12-9F2B-CC657460FE42}" name="Selling Price" dataDxfId="7">
      <calculatedColumnFormula>_xlfn.XLOOKUP(Table4[[#This Row],[Product ID]],Table2[Product ID],Table2[Selling Price])</calculatedColumnFormula>
    </tableColumn>
    <tableColumn id="15" xr3:uid="{67C871C8-36AF-4544-AAD2-0144D071395E}" name="Salesperson" dataDxfId="6">
      <calculatedColumnFormula>_xlfn.XLOOKUP(Table4[[#This Row],[Salesperson ID]],Table3[Salesperson ID],Table3[Salesperson])</calculatedColumnFormula>
    </tableColumn>
    <tableColumn id="16" xr3:uid="{3AD1F3D3-6E44-4809-A3B9-477BDCEEA426}" name="Sales" dataDxfId="5">
      <calculatedColumnFormula>Table4[[#This Row],[Qty]]*Table4[[#This Row],[Selling Price]]</calculatedColumnFormula>
    </tableColumn>
    <tableColumn id="17" xr3:uid="{127EFE9D-06DA-48DA-8674-00FD826F6ED7}" name="Cost" dataDxfId="4">
      <calculatedColumnFormula>Table4[[#This Row],[Qty]]*Table4[[#This Row],[Cost Price]]</calculatedColumnFormula>
    </tableColumn>
    <tableColumn id="18" xr3:uid="{FFFA57E7-EE7C-404D-9A2A-2153602B4C7B}" name="Profit" dataDxfId="3">
      <calculatedColumnFormula>Table4[[#This Row],[Sales]]-Table4[[#This Row],[Cost Price]]</calculatedColumnFormula>
    </tableColumn>
    <tableColumn id="21" xr3:uid="{A51DC6DD-3B14-42C9-8350-84BF9E2B0EF9}" name="Year" dataDxfId="2">
      <calculatedColumnFormula>YEAR(Table4[[#This Row],[Date]])</calculatedColumnFormula>
    </tableColumn>
    <tableColumn id="19" xr3:uid="{6FA83576-F520-4DC0-8949-A3EF222BEDA8}" name="Month" dataDxfId="1">
      <calculatedColumnFormula>TEXT(B2,"mmm")</calculatedColumnFormula>
    </tableColumn>
    <tableColumn id="20" xr3:uid="{FA0BF859-943D-47A1-B3BF-F222DD313181}" name="Quarter" dataDxfId="0">
      <calculatedColumnFormula>"Q"&amp;ROUNDUP(MONTH(Table4[[#This Row],[Date]])/3,0)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
  <sheetViews>
    <sheetView zoomScaleNormal="100" workbookViewId="0">
      <selection activeCell="K12" sqref="K12"/>
    </sheetView>
  </sheetViews>
  <sheetFormatPr defaultRowHeight="14.5" x14ac:dyDescent="0.35"/>
  <cols>
    <col min="1" max="1" width="15.453125" customWidth="1"/>
    <col min="2" max="2" width="16.36328125" customWidth="1"/>
    <col min="3" max="3" width="12.6328125" customWidth="1"/>
    <col min="4" max="4" width="12" customWidth="1"/>
  </cols>
  <sheetData>
    <row r="1" spans="1:4" x14ac:dyDescent="0.35">
      <c r="A1" s="1" t="s">
        <v>0</v>
      </c>
      <c r="B1" s="2" t="s">
        <v>1</v>
      </c>
      <c r="C1" s="2" t="s">
        <v>2</v>
      </c>
      <c r="D1" s="3" t="s">
        <v>3</v>
      </c>
    </row>
    <row r="2" spans="1:4" x14ac:dyDescent="0.35">
      <c r="A2" s="4" t="s">
        <v>4</v>
      </c>
      <c r="B2" s="5" t="s">
        <v>5</v>
      </c>
      <c r="C2" s="5" t="s">
        <v>6</v>
      </c>
      <c r="D2" s="6" t="s">
        <v>7</v>
      </c>
    </row>
    <row r="3" spans="1:4" x14ac:dyDescent="0.35">
      <c r="A3" s="4" t="s">
        <v>8</v>
      </c>
      <c r="B3" s="5" t="s">
        <v>9</v>
      </c>
      <c r="C3" s="5" t="s">
        <v>10</v>
      </c>
      <c r="D3" s="6" t="s">
        <v>11</v>
      </c>
    </row>
    <row r="4" spans="1:4" x14ac:dyDescent="0.35">
      <c r="A4" s="4" t="s">
        <v>12</v>
      </c>
      <c r="B4" s="5" t="s">
        <v>13</v>
      </c>
      <c r="C4" s="5" t="s">
        <v>14</v>
      </c>
      <c r="D4" s="6" t="s">
        <v>15</v>
      </c>
    </row>
    <row r="5" spans="1:4" x14ac:dyDescent="0.35">
      <c r="A5" s="4" t="s">
        <v>16</v>
      </c>
      <c r="B5" s="5" t="s">
        <v>17</v>
      </c>
      <c r="C5" s="5" t="s">
        <v>6</v>
      </c>
      <c r="D5" s="6" t="s">
        <v>7</v>
      </c>
    </row>
    <row r="6" spans="1:4" x14ac:dyDescent="0.35">
      <c r="A6" s="4" t="s">
        <v>18</v>
      </c>
      <c r="B6" s="5" t="s">
        <v>19</v>
      </c>
      <c r="C6" s="5" t="s">
        <v>20</v>
      </c>
      <c r="D6" s="6" t="s">
        <v>21</v>
      </c>
    </row>
    <row r="7" spans="1:4" x14ac:dyDescent="0.35">
      <c r="A7" s="4" t="s">
        <v>22</v>
      </c>
      <c r="B7" s="5" t="s">
        <v>23</v>
      </c>
      <c r="C7" s="5" t="s">
        <v>10</v>
      </c>
      <c r="D7" s="6" t="s">
        <v>11</v>
      </c>
    </row>
    <row r="8" spans="1:4" x14ac:dyDescent="0.35">
      <c r="A8" s="4" t="s">
        <v>24</v>
      </c>
      <c r="B8" s="5" t="s">
        <v>25</v>
      </c>
      <c r="C8" s="5" t="s">
        <v>26</v>
      </c>
      <c r="D8" s="6" t="s">
        <v>7</v>
      </c>
    </row>
    <row r="9" spans="1:4" x14ac:dyDescent="0.35">
      <c r="A9" s="4" t="s">
        <v>27</v>
      </c>
      <c r="B9" s="5" t="s">
        <v>28</v>
      </c>
      <c r="C9" s="5" t="s">
        <v>29</v>
      </c>
      <c r="D9" s="6" t="s">
        <v>7</v>
      </c>
    </row>
    <row r="10" spans="1:4" x14ac:dyDescent="0.35">
      <c r="A10" s="4" t="s">
        <v>30</v>
      </c>
      <c r="B10" s="5" t="s">
        <v>31</v>
      </c>
      <c r="C10" s="5" t="s">
        <v>32</v>
      </c>
      <c r="D10" s="6" t="s">
        <v>11</v>
      </c>
    </row>
    <row r="11" spans="1:4" x14ac:dyDescent="0.35">
      <c r="A11" s="7" t="s">
        <v>33</v>
      </c>
      <c r="B11" s="8" t="s">
        <v>34</v>
      </c>
      <c r="C11" s="8" t="s">
        <v>20</v>
      </c>
      <c r="D11" s="9" t="s">
        <v>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1"/>
  <sheetViews>
    <sheetView workbookViewId="0">
      <selection activeCell="I6" sqref="I6"/>
    </sheetView>
  </sheetViews>
  <sheetFormatPr defaultRowHeight="14.5" x14ac:dyDescent="0.35"/>
  <cols>
    <col min="1" max="1" width="11.7265625" customWidth="1"/>
    <col min="2" max="2" width="20.6328125" customWidth="1"/>
    <col min="3" max="3" width="10.26953125" customWidth="1"/>
    <col min="4" max="4" width="11.08984375" customWidth="1"/>
    <col min="5" max="5" width="12.6328125" customWidth="1"/>
  </cols>
  <sheetData>
    <row r="1" spans="1:5" x14ac:dyDescent="0.35">
      <c r="A1" s="1" t="s">
        <v>35</v>
      </c>
      <c r="B1" s="2" t="s">
        <v>36</v>
      </c>
      <c r="C1" s="2" t="s">
        <v>37</v>
      </c>
      <c r="D1" s="2" t="s">
        <v>38</v>
      </c>
      <c r="E1" s="3" t="s">
        <v>39</v>
      </c>
    </row>
    <row r="2" spans="1:5" x14ac:dyDescent="0.35">
      <c r="A2" s="4" t="s">
        <v>40</v>
      </c>
      <c r="B2" s="5" t="s">
        <v>41</v>
      </c>
      <c r="C2" s="5" t="s">
        <v>42</v>
      </c>
      <c r="D2" s="5">
        <v>45000</v>
      </c>
      <c r="E2" s="6">
        <v>52000</v>
      </c>
    </row>
    <row r="3" spans="1:5" x14ac:dyDescent="0.35">
      <c r="A3" s="4" t="s">
        <v>43</v>
      </c>
      <c r="B3" s="5" t="s">
        <v>44</v>
      </c>
      <c r="C3" s="5" t="s">
        <v>42</v>
      </c>
      <c r="D3" s="5">
        <v>15000</v>
      </c>
      <c r="E3" s="6">
        <v>18000</v>
      </c>
    </row>
    <row r="4" spans="1:5" x14ac:dyDescent="0.35">
      <c r="A4" s="4" t="s">
        <v>45</v>
      </c>
      <c r="B4" s="5" t="s">
        <v>46</v>
      </c>
      <c r="C4" s="5" t="s">
        <v>42</v>
      </c>
      <c r="D4" s="5">
        <v>8000</v>
      </c>
      <c r="E4" s="6">
        <v>9500</v>
      </c>
    </row>
    <row r="5" spans="1:5" x14ac:dyDescent="0.35">
      <c r="A5" s="4" t="s">
        <v>47</v>
      </c>
      <c r="B5" s="5" t="s">
        <v>48</v>
      </c>
      <c r="C5" s="5" t="s">
        <v>49</v>
      </c>
      <c r="D5" s="5">
        <v>2000</v>
      </c>
      <c r="E5" s="6">
        <v>2800</v>
      </c>
    </row>
    <row r="6" spans="1:5" x14ac:dyDescent="0.35">
      <c r="A6" s="4" t="s">
        <v>50</v>
      </c>
      <c r="B6" s="5" t="s">
        <v>51</v>
      </c>
      <c r="C6" s="5" t="s">
        <v>49</v>
      </c>
      <c r="D6" s="5">
        <v>4000</v>
      </c>
      <c r="E6" s="6">
        <v>5200</v>
      </c>
    </row>
    <row r="7" spans="1:5" x14ac:dyDescent="0.35">
      <c r="A7" s="4" t="s">
        <v>52</v>
      </c>
      <c r="B7" s="5" t="s">
        <v>53</v>
      </c>
      <c r="C7" s="5" t="s">
        <v>54</v>
      </c>
      <c r="D7" s="5">
        <v>10</v>
      </c>
      <c r="E7" s="6">
        <v>15</v>
      </c>
    </row>
    <row r="8" spans="1:5" x14ac:dyDescent="0.35">
      <c r="A8" s="4" t="s">
        <v>55</v>
      </c>
      <c r="B8" s="5" t="s">
        <v>56</v>
      </c>
      <c r="C8" s="5" t="s">
        <v>54</v>
      </c>
      <c r="D8" s="5">
        <v>35</v>
      </c>
      <c r="E8" s="6">
        <v>50</v>
      </c>
    </row>
    <row r="9" spans="1:5" x14ac:dyDescent="0.35">
      <c r="A9" s="4" t="s">
        <v>57</v>
      </c>
      <c r="B9" s="5" t="s">
        <v>58</v>
      </c>
      <c r="C9" s="5" t="s">
        <v>42</v>
      </c>
      <c r="D9" s="5">
        <v>700</v>
      </c>
      <c r="E9" s="6">
        <v>900</v>
      </c>
    </row>
    <row r="10" spans="1:5" x14ac:dyDescent="0.35">
      <c r="A10" s="4" t="s">
        <v>59</v>
      </c>
      <c r="B10" s="5" t="s">
        <v>60</v>
      </c>
      <c r="C10" s="5" t="s">
        <v>42</v>
      </c>
      <c r="D10" s="5">
        <v>350</v>
      </c>
      <c r="E10" s="6">
        <v>500</v>
      </c>
    </row>
    <row r="11" spans="1:5" ht="16" customHeight="1" x14ac:dyDescent="0.35">
      <c r="A11" s="7" t="s">
        <v>61</v>
      </c>
      <c r="B11" s="8" t="s">
        <v>62</v>
      </c>
      <c r="C11" s="8" t="s">
        <v>49</v>
      </c>
      <c r="D11" s="8">
        <v>1800</v>
      </c>
      <c r="E11" s="9">
        <v>2500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6"/>
  <sheetViews>
    <sheetView workbookViewId="0">
      <selection activeCell="B1" sqref="B1"/>
    </sheetView>
  </sheetViews>
  <sheetFormatPr defaultRowHeight="14.5" x14ac:dyDescent="0.35"/>
  <cols>
    <col min="1" max="1" width="15.08984375" customWidth="1"/>
    <col min="2" max="2" width="12.81640625" customWidth="1"/>
  </cols>
  <sheetData>
    <row r="1" spans="1:2" x14ac:dyDescent="0.35">
      <c r="A1" s="1" t="s">
        <v>63</v>
      </c>
      <c r="B1" s="3" t="s">
        <v>64</v>
      </c>
    </row>
    <row r="2" spans="1:2" x14ac:dyDescent="0.35">
      <c r="A2" s="4" t="s">
        <v>65</v>
      </c>
      <c r="B2" s="6" t="s">
        <v>66</v>
      </c>
    </row>
    <row r="3" spans="1:2" x14ac:dyDescent="0.35">
      <c r="A3" s="4" t="s">
        <v>67</v>
      </c>
      <c r="B3" s="6" t="s">
        <v>68</v>
      </c>
    </row>
    <row r="4" spans="1:2" x14ac:dyDescent="0.35">
      <c r="A4" s="4" t="s">
        <v>69</v>
      </c>
      <c r="B4" s="6" t="s">
        <v>70</v>
      </c>
    </row>
    <row r="5" spans="1:2" x14ac:dyDescent="0.35">
      <c r="A5" s="4" t="s">
        <v>71</v>
      </c>
      <c r="B5" s="6" t="s">
        <v>72</v>
      </c>
    </row>
    <row r="6" spans="1:2" x14ac:dyDescent="0.35">
      <c r="A6" s="7" t="s">
        <v>73</v>
      </c>
      <c r="B6" s="9" t="s">
        <v>74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13"/>
  <sheetViews>
    <sheetView topLeftCell="G1" workbookViewId="0">
      <selection activeCell="U2" sqref="U2"/>
    </sheetView>
  </sheetViews>
  <sheetFormatPr defaultRowHeight="14.5" x14ac:dyDescent="0.35"/>
  <cols>
    <col min="1" max="1" width="10" customWidth="1"/>
    <col min="2" max="2" width="10.36328125" customWidth="1"/>
    <col min="3" max="3" width="13.26953125" customWidth="1"/>
    <col min="4" max="4" width="11.7265625" customWidth="1"/>
    <col min="5" max="5" width="15.08984375" customWidth="1"/>
    <col min="7" max="7" width="12.6328125" customWidth="1"/>
    <col min="8" max="8" width="12.453125" customWidth="1"/>
    <col min="9" max="9" width="11.453125" customWidth="1"/>
    <col min="11" max="11" width="10.54296875" customWidth="1"/>
    <col min="22" max="22" width="12.26953125" customWidth="1"/>
  </cols>
  <sheetData>
    <row r="1" spans="1:24" ht="29" x14ac:dyDescent="0.35">
      <c r="A1" s="1" t="s">
        <v>75</v>
      </c>
      <c r="B1" s="2" t="s">
        <v>76</v>
      </c>
      <c r="C1" s="2" t="s">
        <v>0</v>
      </c>
      <c r="D1" s="2" t="s">
        <v>35</v>
      </c>
      <c r="E1" s="2" t="s">
        <v>63</v>
      </c>
      <c r="F1" s="3" t="s">
        <v>77</v>
      </c>
      <c r="G1" s="2" t="s">
        <v>1</v>
      </c>
      <c r="H1" s="2" t="s">
        <v>2</v>
      </c>
      <c r="I1" s="3" t="s">
        <v>3</v>
      </c>
      <c r="J1" s="2" t="s">
        <v>36</v>
      </c>
      <c r="K1" s="2" t="s">
        <v>37</v>
      </c>
      <c r="L1" s="2" t="s">
        <v>38</v>
      </c>
      <c r="M1" s="3" t="s">
        <v>39</v>
      </c>
      <c r="N1" s="3" t="s">
        <v>64</v>
      </c>
      <c r="O1" s="2" t="s">
        <v>78</v>
      </c>
      <c r="P1" s="2" t="s">
        <v>79</v>
      </c>
      <c r="Q1" s="2" t="s">
        <v>80</v>
      </c>
      <c r="R1" s="2" t="s">
        <v>96</v>
      </c>
      <c r="S1" s="2" t="s">
        <v>81</v>
      </c>
      <c r="T1" s="2" t="s">
        <v>82</v>
      </c>
      <c r="U1" s="17" t="s">
        <v>92</v>
      </c>
      <c r="V1" s="17" t="s">
        <v>93</v>
      </c>
      <c r="W1" s="17" t="s">
        <v>94</v>
      </c>
      <c r="X1" s="17" t="s">
        <v>95</v>
      </c>
    </row>
    <row r="2" spans="1:24" x14ac:dyDescent="0.35">
      <c r="A2" s="4">
        <v>1001</v>
      </c>
      <c r="B2" s="10">
        <v>46023</v>
      </c>
      <c r="C2" s="5" t="s">
        <v>4</v>
      </c>
      <c r="D2" s="5" t="s">
        <v>43</v>
      </c>
      <c r="E2" s="5" t="s">
        <v>65</v>
      </c>
      <c r="F2" s="6">
        <v>2</v>
      </c>
      <c r="G2" s="12" t="str">
        <f>VLOOKUP(Table4[[#This Row],[Customer ID]],Table1[],2,FALSE)</f>
        <v>Arun</v>
      </c>
      <c r="H2" s="12" t="str">
        <f>_xlfn.XLOOKUP(Table4[[#This Row],[Customer Name]],Table1[Customer Name],Table1[City])</f>
        <v>Chennai</v>
      </c>
      <c r="I2" s="5" t="str">
        <f>VLOOKUP(Table4[[#This Row],[Customer ID]],Table1[],4,FALSE)</f>
        <v>Tamil Nadu</v>
      </c>
      <c r="J2" s="5" t="str">
        <f>_xlfn.XLOOKUP(Table4[[#This Row],[Product ID]],Table2[Product ID],Table2[Product])</f>
        <v>Mobile</v>
      </c>
      <c r="K2" s="5" t="str">
        <f>_xlfn.XLOOKUP(Table4[[#This Row],[Product ID]],Table2[Product ID],Table2[Category])</f>
        <v>Electronics</v>
      </c>
      <c r="L2" s="5">
        <f>_xlfn.XLOOKUP(Table4[[#This Row],[Product ID]],Table2[Product ID],Table2[Cost Price])</f>
        <v>15000</v>
      </c>
      <c r="M2" s="5">
        <f>_xlfn.XLOOKUP(Table4[[#This Row],[Product ID]],Table2[Product ID],Table2[Selling Price])</f>
        <v>18000</v>
      </c>
      <c r="N2" s="5" t="str">
        <f>_xlfn.XLOOKUP(Table4[[#This Row],[Salesperson ID]],Table3[Salesperson ID],Table3[Salesperson])</f>
        <v>Kumar</v>
      </c>
      <c r="O2" s="12">
        <f>Table4[[#This Row],[Qty]]*Table4[[#This Row],[Selling Price]]</f>
        <v>36000</v>
      </c>
      <c r="P2" s="12">
        <f>Table4[[#This Row],[Qty]]*Table4[[#This Row],[Cost Price]]</f>
        <v>30000</v>
      </c>
      <c r="Q2" s="12">
        <f>Table4[[#This Row],[Sales]]-Table4[[#This Row],[Cost Price]]</f>
        <v>21000</v>
      </c>
      <c r="R2" s="12">
        <f>YEAR(Table4[[#This Row],[Date]])</f>
        <v>2026</v>
      </c>
      <c r="S2" s="12" t="str">
        <f t="shared" ref="S2:S6" si="0">TEXT(B2,"mmm")</f>
        <v>Jan</v>
      </c>
      <c r="T2" s="12" t="str">
        <f>"Q"&amp;ROUNDUP(MONTH(Table4[[#This Row],[Date]])/3,0)</f>
        <v>Q1</v>
      </c>
      <c r="U2" s="18">
        <f>SUM(Table4[Sales])</f>
        <v>93800</v>
      </c>
      <c r="V2" s="18">
        <f>SUM(Table4[Profit])</f>
        <v>31090</v>
      </c>
      <c r="W2" s="18">
        <f>COUNT(Table4[Order ID])</f>
        <v>5</v>
      </c>
      <c r="X2" s="18">
        <f>AVERAGE(Table4[Sales])</f>
        <v>18760</v>
      </c>
    </row>
    <row r="3" spans="1:24" x14ac:dyDescent="0.35">
      <c r="A3" s="4">
        <v>1002</v>
      </c>
      <c r="B3" s="10">
        <v>46023</v>
      </c>
      <c r="C3" s="5" t="s">
        <v>18</v>
      </c>
      <c r="D3" s="5" t="s">
        <v>47</v>
      </c>
      <c r="E3" s="5" t="s">
        <v>67</v>
      </c>
      <c r="F3" s="6">
        <v>1</v>
      </c>
      <c r="G3" s="5" t="str">
        <f>VLOOKUP(Table4[[#This Row],[Customer ID]],Table1[],2,FALSE)</f>
        <v>Kiran</v>
      </c>
      <c r="H3" s="5" t="str">
        <f>_xlfn.XLOOKUP(Table4[[#This Row],[Customer Name]],Table1[Customer Name],Table1[City])</f>
        <v>Kochi</v>
      </c>
      <c r="I3" s="5" t="str">
        <f>VLOOKUP(Table4[[#This Row],[Customer ID]],Table1[],4,FALSE)</f>
        <v>Kerala</v>
      </c>
      <c r="J3" s="5" t="str">
        <f>_xlfn.XLOOKUP(Table4[[#This Row],[Product ID]],Table2[Product ID],Table2[Product])</f>
        <v>Chair</v>
      </c>
      <c r="K3" s="5" t="str">
        <f>_xlfn.XLOOKUP(Table4[[#This Row],[Product ID]],Table2[Product ID],Table2[Category])</f>
        <v>Furniture</v>
      </c>
      <c r="L3" s="5">
        <f>_xlfn.XLOOKUP(Table4[[#This Row],[Product ID]],Table2[Product ID],Table2[Cost Price])</f>
        <v>2000</v>
      </c>
      <c r="M3" s="5">
        <f>_xlfn.XLOOKUP(Table4[[#This Row],[Product ID]],Table2[Product ID],Table2[Selling Price])</f>
        <v>2800</v>
      </c>
      <c r="N3" s="5" t="str">
        <f>_xlfn.XLOOKUP(Table4[[#This Row],[Salesperson ID]],Table3[Salesperson ID],Table3[Salesperson])</f>
        <v>Ravi</v>
      </c>
      <c r="O3" s="5">
        <f>Table4[[#This Row],[Qty]]*Table4[[#This Row],[Selling Price]]</f>
        <v>2800</v>
      </c>
      <c r="P3" s="5">
        <f>Table4[[#This Row],[Qty]]*Table4[[#This Row],[Cost Price]]</f>
        <v>2000</v>
      </c>
      <c r="Q3" s="5">
        <f>Table4[[#This Row],[Sales]]-Table4[[#This Row],[Cost Price]]</f>
        <v>800</v>
      </c>
      <c r="R3" s="5">
        <f>YEAR(Table4[[#This Row],[Date]])</f>
        <v>2026</v>
      </c>
      <c r="S3" s="5" t="str">
        <f t="shared" si="0"/>
        <v>Jan</v>
      </c>
      <c r="T3" s="5" t="str">
        <f>"Q"&amp;ROUNDUP(MONTH(Table4[[#This Row],[Date]])/3,0)</f>
        <v>Q1</v>
      </c>
    </row>
    <row r="4" spans="1:24" x14ac:dyDescent="0.35">
      <c r="A4" s="4">
        <v>1003</v>
      </c>
      <c r="B4" s="10">
        <v>46024</v>
      </c>
      <c r="C4" s="5" t="s">
        <v>12</v>
      </c>
      <c r="D4" s="5" t="s">
        <v>40</v>
      </c>
      <c r="E4" s="5" t="s">
        <v>69</v>
      </c>
      <c r="F4" s="6">
        <v>1</v>
      </c>
      <c r="G4" s="5" t="str">
        <f>VLOOKUP(Table4[[#This Row],[Customer ID]],Table1[],2,FALSE)</f>
        <v>Rahul</v>
      </c>
      <c r="H4" s="5" t="str">
        <f>_xlfn.XLOOKUP(Table4[[#This Row],[Customer Name]],Table1[Customer Name],Table1[City])</f>
        <v>Hyderabad</v>
      </c>
      <c r="I4" s="5" t="str">
        <f>VLOOKUP(Table4[[#This Row],[Customer ID]],Table1[],4,FALSE)</f>
        <v>Telangana</v>
      </c>
      <c r="J4" s="5" t="str">
        <f>_xlfn.XLOOKUP(Table4[[#This Row],[Product ID]],Table2[Product ID],Table2[Product])</f>
        <v>Laptop</v>
      </c>
      <c r="K4" s="5" t="str">
        <f>_xlfn.XLOOKUP(Table4[[#This Row],[Product ID]],Table2[Product ID],Table2[Category])</f>
        <v>Electronics</v>
      </c>
      <c r="L4" s="5">
        <f>_xlfn.XLOOKUP(Table4[[#This Row],[Product ID]],Table2[Product ID],Table2[Cost Price])</f>
        <v>45000</v>
      </c>
      <c r="M4" s="5">
        <f>_xlfn.XLOOKUP(Table4[[#This Row],[Product ID]],Table2[Product ID],Table2[Selling Price])</f>
        <v>52000</v>
      </c>
      <c r="N4" s="5" t="str">
        <f>_xlfn.XLOOKUP(Table4[[#This Row],[Salesperson ID]],Table3[Salesperson ID],Table3[Salesperson])</f>
        <v>Ajay</v>
      </c>
      <c r="O4" s="5">
        <f>Table4[[#This Row],[Qty]]*Table4[[#This Row],[Selling Price]]</f>
        <v>52000</v>
      </c>
      <c r="P4" s="5">
        <f>Table4[[#This Row],[Qty]]*Table4[[#This Row],[Cost Price]]</f>
        <v>45000</v>
      </c>
      <c r="Q4" s="5">
        <f>Table4[[#This Row],[Sales]]-Table4[[#This Row],[Cost Price]]</f>
        <v>7000</v>
      </c>
      <c r="R4" s="5">
        <f>YEAR(Table4[[#This Row],[Date]])</f>
        <v>2026</v>
      </c>
      <c r="S4" s="5" t="str">
        <f t="shared" si="0"/>
        <v>Jan</v>
      </c>
      <c r="T4" s="5" t="str">
        <f>"Q"&amp;ROUNDUP(MONTH(Table4[[#This Row],[Date]])/3,0)</f>
        <v>Q1</v>
      </c>
    </row>
    <row r="5" spans="1:24" x14ac:dyDescent="0.35">
      <c r="A5" s="4">
        <v>1004</v>
      </c>
      <c r="B5" s="10">
        <v>46024</v>
      </c>
      <c r="C5" s="5" t="s">
        <v>16</v>
      </c>
      <c r="D5" s="5" t="s">
        <v>52</v>
      </c>
      <c r="E5" s="5" t="s">
        <v>73</v>
      </c>
      <c r="F5" s="6">
        <v>20</v>
      </c>
      <c r="G5" s="5" t="str">
        <f>VLOOKUP(Table4[[#This Row],[Customer ID]],Table1[],2,FALSE)</f>
        <v>Divya</v>
      </c>
      <c r="H5" s="5" t="str">
        <f>_xlfn.XLOOKUP(Table4[[#This Row],[Customer Name]],Table1[Customer Name],Table1[City])</f>
        <v>Chennai</v>
      </c>
      <c r="I5" s="5" t="str">
        <f>VLOOKUP(Table4[[#This Row],[Customer ID]],Table1[],4,FALSE)</f>
        <v>Tamil Nadu</v>
      </c>
      <c r="J5" s="5" t="str">
        <f>_xlfn.XLOOKUP(Table4[[#This Row],[Product ID]],Table2[Product ID],Table2[Product])</f>
        <v>Pen</v>
      </c>
      <c r="K5" s="5" t="str">
        <f>_xlfn.XLOOKUP(Table4[[#This Row],[Product ID]],Table2[Product ID],Table2[Category])</f>
        <v>Stationery</v>
      </c>
      <c r="L5" s="5">
        <f>_xlfn.XLOOKUP(Table4[[#This Row],[Product ID]],Table2[Product ID],Table2[Cost Price])</f>
        <v>10</v>
      </c>
      <c r="M5" s="5">
        <f>_xlfn.XLOOKUP(Table4[[#This Row],[Product ID]],Table2[Product ID],Table2[Selling Price])</f>
        <v>15</v>
      </c>
      <c r="N5" s="5" t="str">
        <f>_xlfn.XLOOKUP(Table4[[#This Row],[Salesperson ID]],Table3[Salesperson ID],Table3[Salesperson])</f>
        <v>Nisha</v>
      </c>
      <c r="O5" s="5">
        <f>Table4[[#This Row],[Qty]]*Table4[[#This Row],[Selling Price]]</f>
        <v>300</v>
      </c>
      <c r="P5" s="5">
        <f>Table4[[#This Row],[Qty]]*Table4[[#This Row],[Cost Price]]</f>
        <v>200</v>
      </c>
      <c r="Q5" s="5">
        <f>Table4[[#This Row],[Sales]]-Table4[[#This Row],[Cost Price]]</f>
        <v>290</v>
      </c>
      <c r="R5" s="5">
        <f>YEAR(Table4[[#This Row],[Date]])</f>
        <v>2026</v>
      </c>
      <c r="S5" s="5" t="str">
        <f t="shared" si="0"/>
        <v>Jan</v>
      </c>
      <c r="T5" s="5" t="str">
        <f>"Q"&amp;ROUNDUP(MONTH(Table4[[#This Row],[Date]])/3,0)</f>
        <v>Q1</v>
      </c>
    </row>
    <row r="6" spans="1:24" x14ac:dyDescent="0.35">
      <c r="A6" s="7">
        <v>1005</v>
      </c>
      <c r="B6" s="11">
        <v>46025</v>
      </c>
      <c r="C6" s="8" t="s">
        <v>24</v>
      </c>
      <c r="D6" s="8" t="s">
        <v>57</v>
      </c>
      <c r="E6" s="8" t="s">
        <v>71</v>
      </c>
      <c r="F6" s="9">
        <v>3</v>
      </c>
      <c r="G6" s="8" t="str">
        <f>VLOOKUP(Table4[[#This Row],[Customer ID]],Table1[],2,FALSE)</f>
        <v>Vignesh</v>
      </c>
      <c r="H6" s="8" t="str">
        <f>_xlfn.XLOOKUP(Table4[[#This Row],[Customer Name]],Table1[Customer Name],Table1[City])</f>
        <v>Madurai</v>
      </c>
      <c r="I6" s="5" t="str">
        <f>VLOOKUP(Table4[[#This Row],[Customer ID]],Table1[],4,FALSE)</f>
        <v>Tamil Nadu</v>
      </c>
      <c r="J6" s="5" t="str">
        <f>_xlfn.XLOOKUP(Table4[[#This Row],[Product ID]],Table2[Product ID],Table2[Product])</f>
        <v>Keyboard</v>
      </c>
      <c r="K6" s="5" t="str">
        <f>_xlfn.XLOOKUP(Table4[[#This Row],[Product ID]],Table2[Product ID],Table2[Category])</f>
        <v>Electronics</v>
      </c>
      <c r="L6" s="5">
        <f>_xlfn.XLOOKUP(Table4[[#This Row],[Product ID]],Table2[Product ID],Table2[Cost Price])</f>
        <v>700</v>
      </c>
      <c r="M6" s="5">
        <f>_xlfn.XLOOKUP(Table4[[#This Row],[Product ID]],Table2[Product ID],Table2[Selling Price])</f>
        <v>900</v>
      </c>
      <c r="N6" s="5" t="str">
        <f>_xlfn.XLOOKUP(Table4[[#This Row],[Salesperson ID]],Table3[Salesperson ID],Table3[Salesperson])</f>
        <v>Deepa</v>
      </c>
      <c r="O6" s="8">
        <f>Table4[[#This Row],[Qty]]*Table4[[#This Row],[Selling Price]]</f>
        <v>2700</v>
      </c>
      <c r="P6" s="8">
        <f>Table4[[#This Row],[Qty]]*Table4[[#This Row],[Cost Price]]</f>
        <v>2100</v>
      </c>
      <c r="Q6" s="8">
        <f>Table4[[#This Row],[Sales]]-Table4[[#This Row],[Cost Price]]</f>
        <v>2000</v>
      </c>
      <c r="R6" s="8">
        <f>YEAR(Table4[[#This Row],[Date]])</f>
        <v>2026</v>
      </c>
      <c r="S6" s="8" t="str">
        <f t="shared" si="0"/>
        <v>Jan</v>
      </c>
      <c r="T6" s="8" t="str">
        <f>"Q"&amp;ROUNDUP(MONTH(Table4[[#This Row],[Date]])/3,0)</f>
        <v>Q1</v>
      </c>
    </row>
    <row r="13" spans="1:24" x14ac:dyDescent="0.35">
      <c r="H13" s="13"/>
    </row>
  </sheetData>
  <phoneticPr fontId="2"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A65BD-2AE1-4320-95FB-0B8111B8D33B}">
  <dimension ref="A2:H26"/>
  <sheetViews>
    <sheetView zoomScale="60" zoomScaleNormal="60" workbookViewId="0">
      <selection activeCell="Q39" sqref="Q39"/>
    </sheetView>
  </sheetViews>
  <sheetFormatPr defaultRowHeight="14.5" x14ac:dyDescent="0.35"/>
  <cols>
    <col min="1" max="1" width="14" customWidth="1"/>
    <col min="2" max="2" width="11.26953125" bestFit="1" customWidth="1"/>
    <col min="3" max="5" width="11.26953125" customWidth="1"/>
    <col min="8" max="8" width="15.08984375" customWidth="1"/>
  </cols>
  <sheetData>
    <row r="2" spans="1:8" ht="15.5" x14ac:dyDescent="0.35">
      <c r="A2" t="s">
        <v>87</v>
      </c>
      <c r="D2" t="s">
        <v>88</v>
      </c>
      <c r="H2" s="16"/>
    </row>
    <row r="3" spans="1:8" x14ac:dyDescent="0.35">
      <c r="A3" s="14" t="s">
        <v>83</v>
      </c>
      <c r="B3" t="s">
        <v>86</v>
      </c>
      <c r="D3" s="14" t="s">
        <v>83</v>
      </c>
      <c r="E3" t="s">
        <v>97</v>
      </c>
    </row>
    <row r="4" spans="1:8" x14ac:dyDescent="0.35">
      <c r="A4" s="15" t="s">
        <v>84</v>
      </c>
      <c r="B4" s="20">
        <v>93800</v>
      </c>
      <c r="D4" s="15" t="s">
        <v>42</v>
      </c>
      <c r="E4" s="20">
        <v>30000</v>
      </c>
    </row>
    <row r="5" spans="1:8" x14ac:dyDescent="0.35">
      <c r="A5" s="15" t="s">
        <v>85</v>
      </c>
      <c r="B5" s="20">
        <v>93800</v>
      </c>
      <c r="D5" s="15" t="s">
        <v>49</v>
      </c>
      <c r="E5" s="20">
        <v>800</v>
      </c>
    </row>
    <row r="6" spans="1:8" x14ac:dyDescent="0.35">
      <c r="D6" s="15" t="s">
        <v>54</v>
      </c>
      <c r="E6" s="20">
        <v>290</v>
      </c>
    </row>
    <row r="7" spans="1:8" x14ac:dyDescent="0.35">
      <c r="D7" s="15" t="s">
        <v>85</v>
      </c>
      <c r="E7" s="20">
        <v>31090</v>
      </c>
    </row>
    <row r="10" spans="1:8" x14ac:dyDescent="0.35">
      <c r="A10" t="s">
        <v>89</v>
      </c>
      <c r="D10" t="s">
        <v>90</v>
      </c>
    </row>
    <row r="11" spans="1:8" x14ac:dyDescent="0.35">
      <c r="A11" s="14" t="s">
        <v>83</v>
      </c>
      <c r="B11" t="s">
        <v>86</v>
      </c>
      <c r="D11" s="14" t="s">
        <v>83</v>
      </c>
      <c r="E11" t="s">
        <v>86</v>
      </c>
    </row>
    <row r="12" spans="1:8" x14ac:dyDescent="0.35">
      <c r="A12" s="15" t="s">
        <v>21</v>
      </c>
      <c r="B12" s="20">
        <v>2800</v>
      </c>
      <c r="D12" s="15" t="s">
        <v>70</v>
      </c>
      <c r="E12" s="20">
        <v>52000</v>
      </c>
    </row>
    <row r="13" spans="1:8" x14ac:dyDescent="0.35">
      <c r="A13" s="15" t="s">
        <v>7</v>
      </c>
      <c r="B13" s="20">
        <v>39000</v>
      </c>
      <c r="D13" s="15" t="s">
        <v>72</v>
      </c>
      <c r="E13" s="20">
        <v>2700</v>
      </c>
    </row>
    <row r="14" spans="1:8" x14ac:dyDescent="0.35">
      <c r="A14" s="15" t="s">
        <v>15</v>
      </c>
      <c r="B14" s="20">
        <v>52000</v>
      </c>
      <c r="D14" s="15" t="s">
        <v>66</v>
      </c>
      <c r="E14" s="20">
        <v>36000</v>
      </c>
    </row>
    <row r="15" spans="1:8" x14ac:dyDescent="0.35">
      <c r="A15" s="15" t="s">
        <v>85</v>
      </c>
      <c r="B15" s="20">
        <v>93800</v>
      </c>
      <c r="D15" s="15" t="s">
        <v>74</v>
      </c>
      <c r="E15" s="20">
        <v>300</v>
      </c>
    </row>
    <row r="16" spans="1:8" x14ac:dyDescent="0.35">
      <c r="D16" s="15" t="s">
        <v>68</v>
      </c>
      <c r="E16" s="20">
        <v>2800</v>
      </c>
    </row>
    <row r="17" spans="1:5" x14ac:dyDescent="0.35">
      <c r="D17" s="15" t="s">
        <v>85</v>
      </c>
      <c r="E17" s="20">
        <v>93800</v>
      </c>
    </row>
    <row r="19" spans="1:5" x14ac:dyDescent="0.35">
      <c r="A19" t="s">
        <v>91</v>
      </c>
    </row>
    <row r="20" spans="1:5" x14ac:dyDescent="0.35">
      <c r="A20" s="14" t="s">
        <v>83</v>
      </c>
      <c r="B20" t="s">
        <v>86</v>
      </c>
    </row>
    <row r="21" spans="1:5" x14ac:dyDescent="0.35">
      <c r="A21" s="15" t="s">
        <v>41</v>
      </c>
      <c r="B21" s="20">
        <v>52000</v>
      </c>
      <c r="D21" s="14" t="s">
        <v>83</v>
      </c>
      <c r="E21" t="s">
        <v>97</v>
      </c>
    </row>
    <row r="22" spans="1:5" x14ac:dyDescent="0.35">
      <c r="A22" s="15" t="s">
        <v>44</v>
      </c>
      <c r="B22" s="20">
        <v>36000</v>
      </c>
      <c r="D22" s="15" t="s">
        <v>42</v>
      </c>
      <c r="E22">
        <v>30000</v>
      </c>
    </row>
    <row r="23" spans="1:5" x14ac:dyDescent="0.35">
      <c r="A23" s="15" t="s">
        <v>48</v>
      </c>
      <c r="B23" s="20">
        <v>2800</v>
      </c>
      <c r="D23" s="15" t="s">
        <v>49</v>
      </c>
      <c r="E23">
        <v>800</v>
      </c>
    </row>
    <row r="24" spans="1:5" x14ac:dyDescent="0.35">
      <c r="A24" s="15" t="s">
        <v>58</v>
      </c>
      <c r="B24" s="20">
        <v>2700</v>
      </c>
      <c r="D24" s="15" t="s">
        <v>54</v>
      </c>
      <c r="E24">
        <v>290</v>
      </c>
    </row>
    <row r="25" spans="1:5" x14ac:dyDescent="0.35">
      <c r="A25" s="15" t="s">
        <v>53</v>
      </c>
      <c r="B25" s="20">
        <v>300</v>
      </c>
      <c r="D25" s="15" t="s">
        <v>85</v>
      </c>
      <c r="E25">
        <v>31090</v>
      </c>
    </row>
    <row r="26" spans="1:5" x14ac:dyDescent="0.35">
      <c r="A26" s="15" t="s">
        <v>85</v>
      </c>
      <c r="B26" s="20">
        <v>93800</v>
      </c>
    </row>
  </sheetData>
  <phoneticPr fontId="2" type="noConversion"/>
  <pageMargins left="0.7" right="0.7" top="0.75" bottom="0.75" header="0.3" footer="0.3"/>
  <drawing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BAA52-3C56-4C72-BB14-FE98FAE82378}">
  <dimension ref="A1:AC36"/>
  <sheetViews>
    <sheetView tabSelected="1" zoomScale="68" zoomScaleNormal="68" workbookViewId="0">
      <selection activeCell="AC34" sqref="AC34"/>
    </sheetView>
  </sheetViews>
  <sheetFormatPr defaultRowHeight="14.5" x14ac:dyDescent="0.35"/>
  <sheetData>
    <row r="1" spans="1:29" x14ac:dyDescent="0.35">
      <c r="A1" s="19"/>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row>
    <row r="2" spans="1:29" x14ac:dyDescent="0.35">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row>
    <row r="3" spans="1:29" x14ac:dyDescent="0.35">
      <c r="A3" s="19"/>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row>
    <row r="4" spans="1:29" x14ac:dyDescent="0.35">
      <c r="A4" s="19"/>
      <c r="B4" s="19"/>
      <c r="C4" s="19"/>
      <c r="D4" s="19"/>
      <c r="E4" s="19"/>
      <c r="F4" s="19"/>
      <c r="G4" s="19"/>
      <c r="H4" s="19"/>
      <c r="I4" s="19"/>
      <c r="J4" s="19"/>
      <c r="K4" s="19"/>
      <c r="L4" s="19"/>
      <c r="M4" s="19"/>
      <c r="N4" s="19"/>
      <c r="O4" s="19"/>
      <c r="P4" s="19"/>
      <c r="Q4" s="19"/>
      <c r="R4" s="19"/>
      <c r="S4" s="19"/>
      <c r="T4" s="19"/>
      <c r="U4" s="19"/>
      <c r="V4" s="19"/>
      <c r="W4" s="19"/>
      <c r="X4" s="19"/>
      <c r="Y4" s="19"/>
      <c r="Z4" s="19"/>
      <c r="AA4" s="19"/>
      <c r="AB4" s="19"/>
      <c r="AC4" s="19"/>
    </row>
    <row r="5" spans="1:29" x14ac:dyDescent="0.35">
      <c r="A5" s="19"/>
      <c r="B5" s="19"/>
      <c r="C5" s="19"/>
      <c r="D5" s="19"/>
      <c r="E5" s="19"/>
      <c r="F5" s="19"/>
      <c r="G5" s="19"/>
      <c r="H5" s="19"/>
      <c r="I5" s="19"/>
      <c r="J5" s="19"/>
      <c r="K5" s="19"/>
      <c r="L5" s="19"/>
      <c r="M5" s="19"/>
      <c r="N5" s="19"/>
      <c r="O5" s="19"/>
      <c r="P5" s="19"/>
      <c r="Q5" s="19"/>
      <c r="R5" s="19"/>
      <c r="S5" s="19"/>
      <c r="T5" s="19"/>
      <c r="U5" s="19"/>
      <c r="V5" s="19"/>
      <c r="W5" s="19"/>
      <c r="X5" s="19"/>
      <c r="Y5" s="19"/>
      <c r="Z5" s="19"/>
      <c r="AA5" s="19"/>
      <c r="AB5" s="19"/>
      <c r="AC5" s="19"/>
    </row>
    <row r="6" spans="1:29" x14ac:dyDescent="0.35">
      <c r="A6" s="19"/>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row>
    <row r="7" spans="1:29" x14ac:dyDescent="0.35">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row>
    <row r="8" spans="1:29" x14ac:dyDescent="0.35">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row>
    <row r="9" spans="1:29" x14ac:dyDescent="0.35">
      <c r="A9" s="19"/>
      <c r="B9" s="19"/>
      <c r="C9" s="19"/>
      <c r="D9" s="19"/>
      <c r="E9" s="19"/>
      <c r="F9" s="19"/>
      <c r="G9" s="19"/>
      <c r="H9" s="19"/>
      <c r="I9" s="19"/>
      <c r="J9" s="19"/>
      <c r="K9" s="19"/>
      <c r="L9" s="19"/>
      <c r="M9" s="19"/>
      <c r="N9" s="19"/>
      <c r="O9" s="19"/>
      <c r="P9" s="19"/>
      <c r="Q9" s="19"/>
      <c r="R9" s="19"/>
      <c r="S9" s="19"/>
      <c r="T9" s="19"/>
      <c r="U9" s="19"/>
      <c r="V9" s="19"/>
      <c r="W9" s="19"/>
      <c r="X9" s="19"/>
      <c r="Y9" s="19"/>
      <c r="Z9" s="19"/>
      <c r="AA9" s="19"/>
      <c r="AB9" s="19"/>
      <c r="AC9" s="19"/>
    </row>
    <row r="10" spans="1:29" x14ac:dyDescent="0.35">
      <c r="A10" s="19"/>
      <c r="B10" s="19"/>
      <c r="C10" s="19"/>
      <c r="D10" s="19"/>
      <c r="E10" s="19"/>
      <c r="F10" s="19"/>
      <c r="G10" s="19"/>
      <c r="H10" s="19"/>
      <c r="I10" s="19"/>
      <c r="J10" s="19"/>
      <c r="K10" s="19"/>
      <c r="L10" s="19"/>
      <c r="M10" s="19"/>
      <c r="N10" s="19"/>
      <c r="O10" s="19"/>
      <c r="P10" s="19"/>
      <c r="Q10" s="19"/>
      <c r="R10" s="19"/>
      <c r="S10" s="19"/>
      <c r="T10" s="19"/>
      <c r="U10" s="19"/>
      <c r="V10" s="19"/>
      <c r="W10" s="19"/>
      <c r="X10" s="19"/>
      <c r="Y10" s="19"/>
      <c r="Z10" s="19"/>
      <c r="AA10" s="19"/>
      <c r="AB10" s="19"/>
      <c r="AC10" s="19"/>
    </row>
    <row r="11" spans="1:29" x14ac:dyDescent="0.35">
      <c r="A11" s="19"/>
      <c r="B11" s="19"/>
      <c r="C11" s="19"/>
      <c r="D11" s="19"/>
      <c r="E11" s="19"/>
      <c r="F11" s="19"/>
      <c r="G11" s="19"/>
      <c r="H11" s="19"/>
      <c r="I11" s="19"/>
      <c r="J11" s="19"/>
      <c r="K11" s="19"/>
      <c r="L11" s="19"/>
      <c r="M11" s="19"/>
      <c r="N11" s="19"/>
      <c r="O11" s="19"/>
      <c r="P11" s="19"/>
      <c r="Q11" s="19"/>
      <c r="R11" s="19"/>
      <c r="S11" s="19"/>
      <c r="T11" s="19"/>
      <c r="U11" s="19"/>
      <c r="V11" s="19"/>
      <c r="W11" s="19"/>
      <c r="X11" s="19"/>
      <c r="Y11" s="19"/>
      <c r="Z11" s="19"/>
      <c r="AA11" s="19"/>
      <c r="AB11" s="19"/>
      <c r="AC11" s="19"/>
    </row>
    <row r="12" spans="1:29" x14ac:dyDescent="0.35">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row>
    <row r="13" spans="1:29" x14ac:dyDescent="0.35">
      <c r="A13" s="19"/>
      <c r="B13" s="19"/>
      <c r="C13" s="19"/>
      <c r="D13" s="19"/>
      <c r="E13" s="19"/>
      <c r="F13" s="19"/>
      <c r="G13" s="19"/>
      <c r="H13" s="19"/>
      <c r="I13" s="19"/>
      <c r="J13" s="19"/>
      <c r="K13" s="19"/>
      <c r="L13" s="19"/>
      <c r="M13" s="19"/>
      <c r="N13" s="19"/>
      <c r="O13" s="19"/>
      <c r="P13" s="19"/>
      <c r="Q13" s="19"/>
      <c r="R13" s="19"/>
      <c r="S13" s="19"/>
      <c r="T13" s="19"/>
      <c r="U13" s="19"/>
      <c r="V13" s="19"/>
      <c r="W13" s="19"/>
      <c r="X13" s="19"/>
      <c r="Y13" s="19"/>
      <c r="Z13" s="19"/>
      <c r="AA13" s="19"/>
      <c r="AB13" s="19"/>
      <c r="AC13" s="19"/>
    </row>
    <row r="14" spans="1:29" x14ac:dyDescent="0.35">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c r="AA14" s="19"/>
      <c r="AB14" s="19"/>
      <c r="AC14" s="19"/>
    </row>
    <row r="15" spans="1:29" x14ac:dyDescent="0.35">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row>
    <row r="16" spans="1:29" x14ac:dyDescent="0.35">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row>
    <row r="17" spans="1:29" x14ac:dyDescent="0.35">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c r="AA17" s="19"/>
      <c r="AB17" s="19"/>
      <c r="AC17" s="19"/>
    </row>
    <row r="18" spans="1:29" x14ac:dyDescent="0.35">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row>
    <row r="19" spans="1:29" x14ac:dyDescent="0.35">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c r="AA19" s="19"/>
      <c r="AB19" s="19"/>
      <c r="AC19" s="19"/>
    </row>
    <row r="20" spans="1:29" x14ac:dyDescent="0.35">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c r="AA20" s="19"/>
      <c r="AB20" s="19"/>
      <c r="AC20" s="19"/>
    </row>
    <row r="21" spans="1:29" x14ac:dyDescent="0.35">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row>
    <row r="22" spans="1:29" x14ac:dyDescent="0.35">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c r="AA22" s="19"/>
      <c r="AB22" s="19"/>
      <c r="AC22" s="19"/>
    </row>
    <row r="23" spans="1:29" x14ac:dyDescent="0.35">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row>
    <row r="24" spans="1:29" x14ac:dyDescent="0.35">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row>
    <row r="25" spans="1:29" x14ac:dyDescent="0.35">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row>
    <row r="26" spans="1:29" x14ac:dyDescent="0.35">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row>
    <row r="27" spans="1:29" x14ac:dyDescent="0.35">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row>
    <row r="28" spans="1:29" x14ac:dyDescent="0.35">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row>
    <row r="29" spans="1:29" x14ac:dyDescent="0.35">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row>
    <row r="30" spans="1:29" x14ac:dyDescent="0.35">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row>
    <row r="31" spans="1:29" x14ac:dyDescent="0.35">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row>
    <row r="32" spans="1:29" x14ac:dyDescent="0.35">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row>
    <row r="33" spans="1:29" x14ac:dyDescent="0.35">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row>
    <row r="34" spans="1:29" x14ac:dyDescent="0.35">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row>
    <row r="35" spans="1:29" x14ac:dyDescent="0.35">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row>
    <row r="36" spans="1:29" x14ac:dyDescent="0.35">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Customers</vt:lpstr>
      <vt:lpstr>Products</vt:lpstr>
      <vt:lpstr>Salesperson</vt:lpstr>
      <vt:lpstr>Orders</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hello</dc:creator>
  <cp:lastModifiedBy>G P</cp:lastModifiedBy>
  <dcterms:created xsi:type="dcterms:W3CDTF">2026-08-05T07:51:47Z</dcterms:created>
  <dcterms:modified xsi:type="dcterms:W3CDTF">2026-10-06T10:22:24Z</dcterms:modified>
</cp:coreProperties>
</file>